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4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Ana\Desktop\"/>
    </mc:Choice>
  </mc:AlternateContent>
  <bookViews>
    <workbookView xWindow="0" yWindow="0" windowWidth="23040" windowHeight="9405" tabRatio="753" activeTab="1"/>
  </bookViews>
  <sheets>
    <sheet name="Dados" sheetId="1" r:id="rId1"/>
    <sheet name="Nivel_Tempo" sheetId="52" r:id="rId2"/>
    <sheet name="Insistências_Nivel" sheetId="51" r:id="rId3"/>
    <sheet name="Pontuacao_Nivel" sheetId="50" r:id="rId4"/>
    <sheet name="Vidas_Nivel" sheetId="49" r:id="rId5"/>
    <sheet name="Bons_Maus" sheetId="48" r:id="rId6"/>
    <sheet name="Insistencias_Grupo" sheetId="47" r:id="rId7"/>
  </sheets>
  <definedNames>
    <definedName name="DataMultiplayer_1" localSheetId="0">Dados!$A$2:$M$5</definedName>
    <definedName name="SegmentaçãoDeDados_Grupo">#N/A</definedName>
    <definedName name="SegmentaçãoDeDados_Grupo1">#N/A</definedName>
    <definedName name="SegmentaçãoDeDados_Grupo2">#N/A</definedName>
    <definedName name="SegmentaçãoDeDados_Grupo3">#N/A</definedName>
  </definedNames>
  <calcPr calcId="152511"/>
  <pivotCaches>
    <pivotCache cacheId="12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 l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 l="1"/>
  <c r="N2" i="1" l="1"/>
</calcChain>
</file>

<file path=xl/connections.xml><?xml version="1.0" encoding="utf-8"?>
<connections xmlns="http://schemas.openxmlformats.org/spreadsheetml/2006/main">
  <connection id="1" name="DataMultiplayer" type="6" refreshedVersion="5" background="1" saveData="1">
    <textPr codePage="850" sourceFile="C:\Users\Ana\Desktop\_Paula_v1\Assets\DataMultiplayer.csv" decimal="," thousands=" " tab="0" comma="1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<sst xmlns="http://schemas.openxmlformats.org/spreadsheetml/2006/main" count="79" uniqueCount="33">
  <si>
    <t>Jogador</t>
  </si>
  <si>
    <t>bons</t>
  </si>
  <si>
    <t>tempo</t>
  </si>
  <si>
    <t>vida</t>
  </si>
  <si>
    <t>nivel</t>
  </si>
  <si>
    <t>pontos</t>
  </si>
  <si>
    <t>insist</t>
  </si>
  <si>
    <t>final</t>
  </si>
  <si>
    <t>vidasGastas</t>
  </si>
  <si>
    <t>Rótulos de Linha</t>
  </si>
  <si>
    <t>Total Geral</t>
  </si>
  <si>
    <t>idd</t>
  </si>
  <si>
    <t>sexo</t>
  </si>
  <si>
    <t>escolaridade</t>
  </si>
  <si>
    <t>maus</t>
  </si>
  <si>
    <t xml:space="preserve"> Masculino</t>
  </si>
  <si>
    <t>Soma de insist</t>
  </si>
  <si>
    <t xml:space="preserve"> Pre-Primaria</t>
  </si>
  <si>
    <t>Grupo</t>
  </si>
  <si>
    <t xml:space="preserve"> jogador1</t>
  </si>
  <si>
    <t xml:space="preserve"> Sim</t>
  </si>
  <si>
    <t xml:space="preserve"> jogador2</t>
  </si>
  <si>
    <t>1/25/2015 5:46:25 PM</t>
  </si>
  <si>
    <t>Feminino</t>
  </si>
  <si>
    <t>1/26/2015 12:08:18 PM</t>
  </si>
  <si>
    <t>1/26/2015 12:09:18 PM</t>
  </si>
  <si>
    <t>Soma de bons</t>
  </si>
  <si>
    <t>Soma de maus</t>
  </si>
  <si>
    <t>Média</t>
  </si>
  <si>
    <t>Soma de vidasGastas</t>
  </si>
  <si>
    <t>Rótulos de Coluna</t>
  </si>
  <si>
    <t>Soma de pontos</t>
  </si>
  <si>
    <t>Soma de tempo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</si>
</sst>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10" Type="http://schemas.microsoft.com/office/2007/relationships/slicerCache" Target="slicerCaches/slicerCache2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Dados!$R$2</c:f>
              <c:strCache>
                <c:ptCount val="1"/>
                <c:pt idx="0">
                  <c:v>1/25/2015 5:46:25 PM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Dados!$S$1:$X$1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Dados!$S$2:$X$2</c:f>
              <c:numCache>
                <c:formatCode>General</c:formatCode>
                <c:ptCount val="6"/>
                <c:pt idx="0">
                  <c:v>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Dados!$R$3</c:f>
              <c:strCache>
                <c:ptCount val="1"/>
                <c:pt idx="0">
                  <c:v>1/26/2015 12:09:18 PM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Dados!$S$1:$X$1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Dados!$S$3:$X$3</c:f>
              <c:numCache>
                <c:formatCode>General</c:formatCode>
                <c:ptCount val="6"/>
                <c:pt idx="0">
                  <c:v>10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Dados!$R$4</c:f>
              <c:strCache>
                <c:ptCount val="1"/>
                <c:pt idx="0">
                  <c:v>1/26/2015 12:08:18 PM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Dados!$S$1:$X$1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Dados!$S$4:$X$4</c:f>
              <c:numCache>
                <c:formatCode>General</c:formatCode>
                <c:ptCount val="6"/>
                <c:pt idx="0">
                  <c:v>25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Dados!$R$5</c:f>
              <c:strCache>
                <c:ptCount val="1"/>
                <c:pt idx="0">
                  <c:v>Média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Dados!$S$1:$X$1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Dados!$S$5:$X$5</c:f>
              <c:numCache>
                <c:formatCode>General</c:formatCode>
                <c:ptCount val="6"/>
                <c:pt idx="0">
                  <c:v>16.666666666666668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39436544"/>
        <c:axId val="339435368"/>
      </c:lineChart>
      <c:catAx>
        <c:axId val="33943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39435368"/>
        <c:crosses val="autoZero"/>
        <c:auto val="1"/>
        <c:lblAlgn val="ctr"/>
        <c:lblOffset val="100"/>
        <c:noMultiLvlLbl val="0"/>
      </c:catAx>
      <c:valAx>
        <c:axId val="33943536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3943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[excelFinalMulti.xltm]Nivel_Tempo!Tabela dinâmica1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Nivel_Tempo!$B$1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Nivel_Tempo!$A$2:$A$8</c:f>
              <c:multiLvlStrCache>
                <c:ptCount val="3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lvl>
                <c:lvl>
                  <c:pt idx="0">
                    <c:v>1/25/2015 5:46:25 PM</c:v>
                  </c:pt>
                  <c:pt idx="1">
                    <c:v>1/26/2015 12:08:18 PM</c:v>
                  </c:pt>
                  <c:pt idx="2">
                    <c:v>1/26/2015 12:09:18 PM</c:v>
                  </c:pt>
                </c:lvl>
              </c:multiLvlStrCache>
            </c:multiLvlStrRef>
          </c:cat>
          <c:val>
            <c:numRef>
              <c:f>Nivel_Tempo!$B$2:$B$8</c:f>
              <c:numCache>
                <c:formatCode>General</c:formatCode>
                <c:ptCount val="3"/>
                <c:pt idx="0">
                  <c:v>34</c:v>
                </c:pt>
                <c:pt idx="1">
                  <c:v>32</c:v>
                </c:pt>
                <c:pt idx="2">
                  <c:v>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2225192"/>
        <c:axId val="432216568"/>
      </c:barChart>
      <c:catAx>
        <c:axId val="432225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32216568"/>
        <c:crosses val="autoZero"/>
        <c:auto val="1"/>
        <c:lblAlgn val="ctr"/>
        <c:lblOffset val="100"/>
        <c:noMultiLvlLbl val="0"/>
      </c:catAx>
      <c:valAx>
        <c:axId val="432216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32225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[excelFinalMulti.xltm]Insistências_Nivel!Tabela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</a:t>
            </a:r>
            <a:r>
              <a:rPr lang="en-US" baseline="0"/>
              <a:t> de insistências por nível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Insistências_Nivel!$B$1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Insistências_Nivel!$A$2:$A$8</c:f>
              <c:multiLvlStrCache>
                <c:ptCount val="3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lvl>
                <c:lvl>
                  <c:pt idx="0">
                    <c:v>1/25/2015 5:46:25 PM</c:v>
                  </c:pt>
                  <c:pt idx="1">
                    <c:v>1/26/2015 12:08:18 PM</c:v>
                  </c:pt>
                  <c:pt idx="2">
                    <c:v>1/26/2015 12:09:18 PM</c:v>
                  </c:pt>
                </c:lvl>
              </c:multiLvlStrCache>
            </c:multiLvlStrRef>
          </c:cat>
          <c:val>
            <c:numRef>
              <c:f>Insistências_Nivel!$B$2:$B$8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9437720"/>
        <c:axId val="339435760"/>
      </c:lineChart>
      <c:catAx>
        <c:axId val="339437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39435760"/>
        <c:crosses val="autoZero"/>
        <c:auto val="1"/>
        <c:lblAlgn val="ctr"/>
        <c:lblOffset val="100"/>
        <c:noMultiLvlLbl val="0"/>
      </c:catAx>
      <c:valAx>
        <c:axId val="3394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Insistências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39437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[excelFinalMulti.xltm]Pontuacao_Nivel!Tabela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Pontuação</a:t>
            </a:r>
            <a:r>
              <a:rPr lang="pt-PT" baseline="0"/>
              <a:t> por nível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Pontuacao_Nivel!$B$1:$B$2</c:f>
              <c:strCache>
                <c:ptCount val="1"/>
                <c:pt idx="0">
                  <c:v>1/25/2015 5:46:25 PM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Pontuacao_Nivel!$A$3:$A$4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Pontuacao_Nivel!$B$3:$B$4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Pontuacao_Nivel!$C$1:$C$2</c:f>
              <c:strCache>
                <c:ptCount val="1"/>
                <c:pt idx="0">
                  <c:v>1/26/2015 12:08:18 PM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Pontuacao_Nivel!$A$3:$A$4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Pontuacao_Nivel!$C$3:$C$4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Pontuacao_Nivel!$D$1:$D$2</c:f>
              <c:strCache>
                <c:ptCount val="1"/>
                <c:pt idx="0">
                  <c:v>1/26/2015 12:09:18 PM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Pontuacao_Nivel!$A$3:$A$4</c:f>
              <c:strCache>
                <c:ptCount val="1"/>
                <c:pt idx="0">
                  <c:v>0</c:v>
                </c:pt>
              </c:strCache>
            </c:strRef>
          </c:cat>
          <c:val>
            <c:numRef>
              <c:f>Pontuacao_Nivel!$D$3:$D$4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438896"/>
        <c:axId val="339432624"/>
      </c:lineChart>
      <c:catAx>
        <c:axId val="339438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39432624"/>
        <c:crosses val="autoZero"/>
        <c:auto val="1"/>
        <c:lblAlgn val="ctr"/>
        <c:lblOffset val="100"/>
        <c:noMultiLvlLbl val="0"/>
      </c:catAx>
      <c:valAx>
        <c:axId val="33943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Pontos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3943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[excelFinalMulti.xltm]Vidas_Nivel!Tabela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Vidas</a:t>
            </a:r>
            <a:r>
              <a:rPr lang="en-US" baseline="0"/>
              <a:t> Gastas por Nível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Vidas_Nivel!$B$1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Vidas_Nivel!$A$2:$A$6</c:f>
              <c:multiLvlStrCache>
                <c:ptCount val="3"/>
                <c:lvl>
                  <c:pt idx="0">
                    <c:v>1/25/2015 5:46:25 PM</c:v>
                  </c:pt>
                  <c:pt idx="1">
                    <c:v>1/26/2015 12:08:18 PM</c:v>
                  </c:pt>
                  <c:pt idx="2">
                    <c:v>1/26/2015 12:09:18 PM</c:v>
                  </c:pt>
                </c:lvl>
                <c:lvl>
                  <c:pt idx="0">
                    <c:v>0</c:v>
                  </c:pt>
                </c:lvl>
              </c:multiLvlStrCache>
            </c:multiLvlStrRef>
          </c:cat>
          <c:val>
            <c:numRef>
              <c:f>Vidas_Nivel!$B$2:$B$6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406032"/>
        <c:axId val="386409560"/>
      </c:barChart>
      <c:catAx>
        <c:axId val="386406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Nível/Grupo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86409560"/>
        <c:crosses val="autoZero"/>
        <c:auto val="1"/>
        <c:lblAlgn val="ctr"/>
        <c:lblOffset val="100"/>
        <c:noMultiLvlLbl val="0"/>
      </c:catAx>
      <c:valAx>
        <c:axId val="386409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Vidas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8640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[excelFinalMulti.xltm]Bons_Maus!Tabela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Itens bons e maus por nível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Bons_Maus!$B$1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Bons_Maus!$A$2:$A$14</c:f>
              <c:multiLvlStrCache>
                <c:ptCount val="6"/>
                <c:lvl>
                  <c:pt idx="0">
                    <c:v> jogador1</c:v>
                  </c:pt>
                  <c:pt idx="1">
                    <c:v> jogador2</c:v>
                  </c:pt>
                  <c:pt idx="2">
                    <c:v> jogador1</c:v>
                  </c:pt>
                  <c:pt idx="3">
                    <c:v> jogador2</c:v>
                  </c:pt>
                  <c:pt idx="4">
                    <c:v> jogador1</c:v>
                  </c:pt>
                  <c:pt idx="5">
                    <c:v> jogador2</c:v>
                  </c:pt>
                </c:lvl>
                <c:lvl>
                  <c:pt idx="0">
                    <c:v>0</c:v>
                  </c:pt>
                  <c:pt idx="2">
                    <c:v>0</c:v>
                  </c:pt>
                  <c:pt idx="4">
                    <c:v>0</c:v>
                  </c:pt>
                </c:lvl>
                <c:lvl>
                  <c:pt idx="0">
                    <c:v>1/25/2015 5:46:25 PM</c:v>
                  </c:pt>
                  <c:pt idx="2">
                    <c:v>1/26/2015 12:08:18 PM</c:v>
                  </c:pt>
                  <c:pt idx="4">
                    <c:v>1/26/2015 12:09:18 PM</c:v>
                  </c:pt>
                </c:lvl>
              </c:multiLvlStrCache>
            </c:multiLvlStrRef>
          </c:cat>
          <c:val>
            <c:numRef>
              <c:f>Bons_Maus!$B$2:$B$14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</c:numCache>
            </c:numRef>
          </c:val>
        </c:ser>
        <c:ser>
          <c:idx val="1"/>
          <c:order val="1"/>
          <c:tx>
            <c:strRef>
              <c:f>Bons_Maus!$C$1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Bons_Maus!$A$2:$A$14</c:f>
              <c:multiLvlStrCache>
                <c:ptCount val="6"/>
                <c:lvl>
                  <c:pt idx="0">
                    <c:v> jogador1</c:v>
                  </c:pt>
                  <c:pt idx="1">
                    <c:v> jogador2</c:v>
                  </c:pt>
                  <c:pt idx="2">
                    <c:v> jogador1</c:v>
                  </c:pt>
                  <c:pt idx="3">
                    <c:v> jogador2</c:v>
                  </c:pt>
                  <c:pt idx="4">
                    <c:v> jogador1</c:v>
                  </c:pt>
                  <c:pt idx="5">
                    <c:v> jogador2</c:v>
                  </c:pt>
                </c:lvl>
                <c:lvl>
                  <c:pt idx="0">
                    <c:v>0</c:v>
                  </c:pt>
                  <c:pt idx="2">
                    <c:v>0</c:v>
                  </c:pt>
                  <c:pt idx="4">
                    <c:v>0</c:v>
                  </c:pt>
                </c:lvl>
                <c:lvl>
                  <c:pt idx="0">
                    <c:v>1/25/2015 5:46:25 PM</c:v>
                  </c:pt>
                  <c:pt idx="2">
                    <c:v>1/26/2015 12:08:18 PM</c:v>
                  </c:pt>
                  <c:pt idx="4">
                    <c:v>1/26/2015 12:09:18 PM</c:v>
                  </c:pt>
                </c:lvl>
              </c:multiLvlStrCache>
            </c:multiLvlStrRef>
          </c:cat>
          <c:val>
            <c:numRef>
              <c:f>Bons_Maus!$C$2:$C$14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411520"/>
        <c:axId val="386406424"/>
      </c:barChart>
      <c:catAx>
        <c:axId val="386411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Nível/Grupo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86406424"/>
        <c:crosses val="autoZero"/>
        <c:auto val="1"/>
        <c:lblAlgn val="ctr"/>
        <c:lblOffset val="100"/>
        <c:noMultiLvlLbl val="0"/>
      </c:catAx>
      <c:valAx>
        <c:axId val="386406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8641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[excelFinalMulti.xltm]Insistencias_Grupo!Tabela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Insistências por Grupo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Insistencias_Grupo!$B$1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Insistencias_Grupo!$A$2:$A$11</c:f>
              <c:multiLvlStrCache>
                <c:ptCount val="6"/>
                <c:lvl>
                  <c:pt idx="0">
                    <c:v> jogador1</c:v>
                  </c:pt>
                  <c:pt idx="1">
                    <c:v> jogador2</c:v>
                  </c:pt>
                  <c:pt idx="2">
                    <c:v> jogador1</c:v>
                  </c:pt>
                  <c:pt idx="3">
                    <c:v> jogador2</c:v>
                  </c:pt>
                  <c:pt idx="4">
                    <c:v> jogador1</c:v>
                  </c:pt>
                  <c:pt idx="5">
                    <c:v> jogador2</c:v>
                  </c:pt>
                </c:lvl>
                <c:lvl>
                  <c:pt idx="0">
                    <c:v>1/25/2015 5:46:25 PM</c:v>
                  </c:pt>
                  <c:pt idx="2">
                    <c:v>1/26/2015 12:08:18 PM</c:v>
                  </c:pt>
                  <c:pt idx="4">
                    <c:v>1/26/2015 12:09:18 PM</c:v>
                  </c:pt>
                </c:lvl>
              </c:multiLvlStrCache>
            </c:multiLvlStrRef>
          </c:cat>
          <c:val>
            <c:numRef>
              <c:f>Insistencias_Grupo!$B$2:$B$11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407600"/>
        <c:axId val="386410344"/>
      </c:barChart>
      <c:catAx>
        <c:axId val="386407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Grupo/Jogador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86410344"/>
        <c:crosses val="autoZero"/>
        <c:auto val="1"/>
        <c:lblAlgn val="ctr"/>
        <c:lblOffset val="100"/>
        <c:noMultiLvlLbl val="0"/>
      </c:catAx>
      <c:valAx>
        <c:axId val="386410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Insistências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8640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1</xdr:row>
          <xdr:rowOff>0</xdr:rowOff>
        </xdr:from>
        <xdr:to>
          <xdr:col>16</xdr:col>
          <xdr:colOff>1114425</xdr:colOff>
          <xdr:row>2</xdr:row>
          <xdr:rowOff>133350</xdr:rowOff>
        </xdr:to>
        <xdr:sp macro="" textlink="">
          <xdr:nvSpPr>
            <xdr:cNvPr id="13315" name="CommandButton21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419100</xdr:colOff>
          <xdr:row>3</xdr:row>
          <xdr:rowOff>123825</xdr:rowOff>
        </xdr:from>
        <xdr:to>
          <xdr:col>16</xdr:col>
          <xdr:colOff>1057275</xdr:colOff>
          <xdr:row>5</xdr:row>
          <xdr:rowOff>47625</xdr:rowOff>
        </xdr:to>
        <xdr:sp macro="" textlink="">
          <xdr:nvSpPr>
            <xdr:cNvPr id="13316" name="CommandButton22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15240</xdr:colOff>
      <xdr:row>7</xdr:row>
      <xdr:rowOff>22860</xdr:rowOff>
    </xdr:from>
    <xdr:to>
      <xdr:col>21</xdr:col>
      <xdr:colOff>594360</xdr:colOff>
      <xdr:row>22</xdr:row>
      <xdr:rowOff>22860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5</xdr:row>
      <xdr:rowOff>142874</xdr:rowOff>
    </xdr:from>
    <xdr:to>
      <xdr:col>9</xdr:col>
      <xdr:colOff>9525</xdr:colOff>
      <xdr:row>21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704850</xdr:colOff>
      <xdr:row>6</xdr:row>
      <xdr:rowOff>0</xdr:rowOff>
    </xdr:from>
    <xdr:to>
      <xdr:col>2</xdr:col>
      <xdr:colOff>0</xdr:colOff>
      <xdr:row>19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rupo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" y="1143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1143000</xdr:colOff>
      <xdr:row>7</xdr:row>
      <xdr:rowOff>0</xdr:rowOff>
    </xdr:from>
    <xdr:to>
      <xdr:col>2</xdr:col>
      <xdr:colOff>9525</xdr:colOff>
      <xdr:row>20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rup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0" y="1333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0</xdr:row>
      <xdr:rowOff>190499</xdr:rowOff>
    </xdr:from>
    <xdr:to>
      <xdr:col>13</xdr:col>
      <xdr:colOff>600074</xdr:colOff>
      <xdr:row>20</xdr:row>
      <xdr:rowOff>180975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809625</xdr:colOff>
      <xdr:row>14</xdr:row>
      <xdr:rowOff>152400</xdr:rowOff>
    </xdr:from>
    <xdr:to>
      <xdr:col>2</xdr:col>
      <xdr:colOff>190500</xdr:colOff>
      <xdr:row>28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rup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9625" y="28194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0</xdr:row>
      <xdr:rowOff>175260</xdr:rowOff>
    </xdr:from>
    <xdr:to>
      <xdr:col>13</xdr:col>
      <xdr:colOff>60960</xdr:colOff>
      <xdr:row>20</xdr:row>
      <xdr:rowOff>7620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1085850</xdr:colOff>
      <xdr:row>11</xdr:row>
      <xdr:rowOff>161925</xdr:rowOff>
    </xdr:from>
    <xdr:to>
      <xdr:col>2</xdr:col>
      <xdr:colOff>466725</xdr:colOff>
      <xdr:row>25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Grup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5850" y="22574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Esta forma representa uma segmentação de dados. As segmentações de dados são suportadas no Excel 2010 ou superior.
Se a forma tiver sido modificada numa versão anterior do Excel, ou se o livro tiver sido guardado no Excel 2003 ou anterior, a segmentação de dados não poderá ser utilizada.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a Gonçalves" refreshedDate="42030.590199305552" createdVersion="5" refreshedVersion="5" minRefreshableVersion="3" recordCount="114">
  <cacheSource type="worksheet">
    <worksheetSource ref="A1:N1048576" sheet="Dados"/>
  </cacheSource>
  <cacheFields count="14">
    <cacheField name="Grupo" numFmtId="0">
      <sharedItems containsBlank="1" count="5">
        <s v="1/26/2015 12:08:18 PM"/>
        <s v="1/26/2015 12:09:18 PM"/>
        <s v="1/25/2015 5:46:25 PM"/>
        <m/>
        <s v="1/23/2015 5:46:25 PM" u="1"/>
      </sharedItems>
    </cacheField>
    <cacheField name="Jogador" numFmtId="0">
      <sharedItems containsBlank="1" count="3">
        <s v=" jogador1"/>
        <s v=" jogador2"/>
        <m/>
      </sharedItems>
    </cacheField>
    <cacheField name="idd" numFmtId="0">
      <sharedItems containsString="0" containsBlank="1" containsNumber="1" containsInteger="1" minValue="6" maxValue="12"/>
    </cacheField>
    <cacheField name="sexo" numFmtId="0">
      <sharedItems containsBlank="1"/>
    </cacheField>
    <cacheField name="escolaridade" numFmtId="0">
      <sharedItems containsBlank="1"/>
    </cacheField>
    <cacheField name="maus" numFmtId="0">
      <sharedItems containsString="0" containsBlank="1" containsNumber="1" containsInteger="1" minValue="0" maxValue="4"/>
    </cacheField>
    <cacheField name="bons" numFmtId="0">
      <sharedItems containsString="0" containsBlank="1" containsNumber="1" containsInteger="1" minValue="1" maxValue="2"/>
    </cacheField>
    <cacheField name="tempo" numFmtId="0">
      <sharedItems containsString="0" containsBlank="1" containsNumber="1" containsInteger="1" minValue="14" maxValue="52" count="6">
        <n v="14"/>
        <n v="18"/>
        <n v="52"/>
        <n v="43"/>
        <n v="17"/>
        <m/>
      </sharedItems>
    </cacheField>
    <cacheField name="vida" numFmtId="0">
      <sharedItems containsString="0" containsBlank="1" containsNumber="1" containsInteger="1" minValue="3" maxValue="3"/>
    </cacheField>
    <cacheField name="nivel" numFmtId="0">
      <sharedItems containsString="0" containsBlank="1" containsNumber="1" containsInteger="1" minValue="0" maxValue="0" count="2">
        <n v="0"/>
        <m/>
      </sharedItems>
    </cacheField>
    <cacheField name="pontos" numFmtId="0">
      <sharedItems containsString="0" containsBlank="1" containsNumber="1" containsInteger="1" minValue="10" maxValue="25"/>
    </cacheField>
    <cacheField name="insist" numFmtId="0">
      <sharedItems containsString="0" containsBlank="1" containsNumber="1" containsInteger="1" minValue="0" maxValue="0"/>
    </cacheField>
    <cacheField name="final" numFmtId="0">
      <sharedItems containsBlank="1"/>
    </cacheField>
    <cacheField name="vidasGastas" numFmtId="0">
      <sharedItems containsString="0" containsBlank="1" containsNumber="1" containsInteger="1" minValue="0" maxValue="3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n v="6"/>
    <s v=" Feminino"/>
    <s v=" Pre-Primaria"/>
    <n v="1"/>
    <n v="1"/>
    <x v="0"/>
    <n v="3"/>
    <x v="0"/>
    <n v="25"/>
    <n v="0"/>
    <s v=" Sim"/>
    <n v="0"/>
  </r>
  <r>
    <x v="0"/>
    <x v="1"/>
    <n v="12"/>
    <s v=" Masculino"/>
    <s v=" Setimo Ano"/>
    <n v="0"/>
    <n v="2"/>
    <x v="1"/>
    <n v="3"/>
    <x v="0"/>
    <n v="25"/>
    <n v="0"/>
    <s v=" Sim"/>
    <n v="0"/>
  </r>
  <r>
    <x v="1"/>
    <x v="0"/>
    <n v="7"/>
    <s v=" Feminino"/>
    <s v=" Segundo Ano"/>
    <n v="0"/>
    <n v="2"/>
    <x v="2"/>
    <n v="3"/>
    <x v="0"/>
    <n v="10"/>
    <n v="0"/>
    <s v=" Sim"/>
    <n v="0"/>
  </r>
  <r>
    <x v="1"/>
    <x v="1"/>
    <n v="10"/>
    <s v=" Masculino"/>
    <s v=" Quinto Ano"/>
    <n v="4"/>
    <n v="1"/>
    <x v="3"/>
    <n v="3"/>
    <x v="0"/>
    <n v="10"/>
    <n v="0"/>
    <s v=" Sim"/>
    <n v="0"/>
  </r>
  <r>
    <x v="2"/>
    <x v="0"/>
    <n v="6"/>
    <s v=" Masculino"/>
    <s v=" Pre-Primaria"/>
    <n v="0"/>
    <n v="2"/>
    <x v="4"/>
    <n v="3"/>
    <x v="0"/>
    <n v="15"/>
    <n v="0"/>
    <s v=" Sim"/>
    <n v="0"/>
  </r>
  <r>
    <x v="2"/>
    <x v="1"/>
    <n v="6"/>
    <s v="Feminino"/>
    <s v=" Pre-Primaria"/>
    <n v="0"/>
    <n v="2"/>
    <x v="4"/>
    <n v="3"/>
    <x v="0"/>
    <n v="15"/>
    <n v="0"/>
    <s v=" Sim"/>
    <n v="0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n v="3"/>
  </r>
  <r>
    <x v="3"/>
    <x v="2"/>
    <m/>
    <m/>
    <m/>
    <m/>
    <m/>
    <x v="5"/>
    <m/>
    <x v="1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" firstHeaderRow="1" firstDataRow="1" firstDataCol="1"/>
  <pivotFields count="14">
    <pivotField axis="axisRow" showAll="0">
      <items count="6">
        <item m="1" x="4"/>
        <item x="2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>
      <items count="7">
        <item x="0"/>
        <item x="4"/>
        <item x="1"/>
        <item x="3"/>
        <item x="2"/>
        <item x="5"/>
        <item t="default"/>
      </items>
    </pivotField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</pivotFields>
  <rowFields count="2">
    <field x="0"/>
    <field x="9"/>
  </rowFields>
  <rowItems count="7">
    <i>
      <x v="1"/>
    </i>
    <i r="1">
      <x/>
    </i>
    <i>
      <x v="2"/>
    </i>
    <i r="1">
      <x/>
    </i>
    <i>
      <x v="3"/>
    </i>
    <i r="1">
      <x/>
    </i>
    <i t="grand">
      <x/>
    </i>
  </rowItems>
  <colItems count="1">
    <i/>
  </colItems>
  <dataFields count="1">
    <dataField name="Soma de tempo" fld="7" baseField="9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4" cacheId="1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" firstHeaderRow="1" firstDataRow="1" firstDataCol="1"/>
  <pivotFields count="14">
    <pivotField axis="axisRow" showAll="0">
      <items count="6">
        <item m="1" x="4"/>
        <item x="2"/>
        <item x="0"/>
        <item x="1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dataField="1" showAll="0"/>
    <pivotField showAll="0"/>
    <pivotField showAll="0"/>
  </pivotFields>
  <rowFields count="2">
    <field x="0"/>
    <field x="9"/>
  </rowFields>
  <rowItems count="7">
    <i>
      <x v="1"/>
    </i>
    <i r="1">
      <x/>
    </i>
    <i>
      <x v="2"/>
    </i>
    <i r="1">
      <x/>
    </i>
    <i>
      <x v="3"/>
    </i>
    <i r="1">
      <x/>
    </i>
    <i t="grand">
      <x/>
    </i>
  </rowItems>
  <colItems count="1">
    <i/>
  </colItems>
  <dataFields count="1">
    <dataField name="Soma de insist" fld="11" baseField="9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3" cacheId="1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E4" firstHeaderRow="1" firstDataRow="2" firstDataCol="1"/>
  <pivotFields count="14">
    <pivotField axis="axisCol" showAll="0">
      <items count="6">
        <item h="1" m="1" x="4"/>
        <item x="2"/>
        <item x="0"/>
        <item x="1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</pivotFields>
  <rowFields count="1">
    <field x="9"/>
  </rowFields>
  <rowItems count="2">
    <i>
      <x/>
    </i>
    <i t="grand">
      <x/>
    </i>
  </rowItems>
  <colFields count="1">
    <field x="0"/>
  </colFields>
  <colItems count="4">
    <i>
      <x v="1"/>
    </i>
    <i>
      <x v="2"/>
    </i>
    <i>
      <x v="3"/>
    </i>
    <i t="grand">
      <x/>
    </i>
  </colItems>
  <dataFields count="1">
    <dataField name="Soma de pontos" fld="10" baseField="9" baseItem="0"/>
  </dataFields>
  <chartFormats count="4">
    <chartFormat chart="0" format="2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2" cacheId="1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6" firstHeaderRow="1" firstDataRow="1" firstDataCol="1"/>
  <pivotFields count="14">
    <pivotField axis="axisRow" showAll="0">
      <items count="6">
        <item m="1" x="4"/>
        <item x="2"/>
        <item x="0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dataField="1" showAll="0"/>
  </pivotFields>
  <rowFields count="2">
    <field x="9"/>
    <field x="0"/>
  </rowFields>
  <rowItems count="5">
    <i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oma de vidasGastas" fld="13" baseField="9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1" cacheId="1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14" firstHeaderRow="0" firstDataRow="1" firstDataCol="1"/>
  <pivotFields count="14">
    <pivotField axis="axisRow" showAll="0">
      <items count="6">
        <item h="1" m="1" x="4"/>
        <item x="2"/>
        <item x="0"/>
        <item x="1"/>
        <item h="1" x="3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</pivotFields>
  <rowFields count="3">
    <field x="0"/>
    <field x="9"/>
    <field x="1"/>
  </rowFields>
  <rowItems count="13">
    <i>
      <x v="1"/>
    </i>
    <i r="1">
      <x/>
    </i>
    <i r="2">
      <x/>
    </i>
    <i r="2">
      <x v="1"/>
    </i>
    <i>
      <x v="2"/>
    </i>
    <i r="1">
      <x/>
    </i>
    <i r="2">
      <x/>
    </i>
    <i r="2">
      <x v="1"/>
    </i>
    <i>
      <x v="3"/>
    </i>
    <i r="1">
      <x/>
    </i>
    <i r="2">
      <x/>
    </i>
    <i r="2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5" baseField="0" baseItem="1"/>
    <dataField name="Soma de bons" fld="6" baseField="0" baseItem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4" cacheId="1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">
  <location ref="A1:B11" firstHeaderRow="1" firstDataRow="1" firstDataCol="1"/>
  <pivotFields count="14">
    <pivotField axis="axisRow" showAll="0">
      <items count="6">
        <item h="1" m="1" x="4"/>
        <item x="2"/>
        <item h="1" x="3"/>
        <item x="0"/>
        <item x="1"/>
        <item t="default"/>
      </items>
    </pivotField>
    <pivotField axis="axisRow" showAll="0">
      <items count="4">
        <item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0"/>
    <field x="1"/>
  </rowFields>
  <rowItems count="10">
    <i>
      <x v="1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 t="grand">
      <x/>
    </i>
  </rowItems>
  <colItems count="1">
    <i/>
  </colItems>
  <dataFields count="1">
    <dataField name="Soma de insist" fld="1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taMultiplayer_1" connectionId="1" autoFormatId="16" applyNumberFormats="0" applyBorderFormats="0" applyFontFormats="0" applyPatternFormats="0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rupo" sourceName="Grupo">
  <pivotTables>
    <pivotTable tabId="47" name="Tabela dinâmica4"/>
  </pivotTables>
  <data>
    <tabular pivotCacheId="1">
      <items count="5">
        <i x="2" s="1"/>
        <i x="0" s="1"/>
        <i x="1" s="1"/>
        <i x="4" nd="1"/>
        <i x="3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rupo1" sourceName="Grupo">
  <pivotTables>
    <pivotTable tabId="48" name="Tabela dinâmica1"/>
  </pivotTables>
  <data>
    <tabular pivotCacheId="1">
      <items count="5">
        <i x="2" s="1"/>
        <i x="0" s="1"/>
        <i x="1" s="1"/>
        <i x="4" nd="1"/>
        <i x="3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rupo2" sourceName="Grupo">
  <pivotTables>
    <pivotTable tabId="49" name="Tabela dinâmica2"/>
  </pivotTables>
  <data>
    <tabular pivotCacheId="1">
      <items count="5">
        <i x="2" s="1"/>
        <i x="0" s="1"/>
        <i x="1" s="1"/>
        <i x="4" s="1" nd="1"/>
        <i x="3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rupo3" sourceName="Grupo">
  <pivotTables>
    <pivotTable tabId="50" name="Tabela dinâmica3"/>
  </pivotTables>
  <data>
    <tabular pivotCacheId="1">
      <items count="5">
        <i x="2" s="1"/>
        <i x="0" s="1"/>
        <i x="1" s="1"/>
        <i x="4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rupo 3" cache="SegmentaçãoDeDados_Grupo3" caption="Gru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rupo 2" cache="SegmentaçãoDeDados_Grupo2" caption="Gru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rupo 1" cache="SegmentaçãoDeDados_Grupo1" caption="Grupo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Grupo" cache="SegmentaçãoDeDados_Grupo" caption="Grupo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X114"/>
  <sheetViews>
    <sheetView workbookViewId="0">
      <selection sqref="A1:N1048576"/>
    </sheetView>
  </sheetViews>
  <sheetFormatPr defaultRowHeight="15" x14ac:dyDescent="0.25"/>
  <cols>
    <col min="1" max="1" width="20.85546875" customWidth="1"/>
    <col min="2" max="2" width="9.140625" customWidth="1"/>
    <col min="3" max="3" width="3" customWidth="1"/>
    <col min="4" max="4" width="10.42578125" customWidth="1"/>
    <col min="5" max="5" width="13.28515625" customWidth="1"/>
    <col min="6" max="7" width="2" customWidth="1"/>
    <col min="8" max="8" width="3" customWidth="1"/>
    <col min="9" max="10" width="2" customWidth="1"/>
    <col min="11" max="11" width="3" customWidth="1"/>
    <col min="12" max="12" width="2" customWidth="1"/>
    <col min="13" max="13" width="4.7109375" customWidth="1"/>
    <col min="15" max="15" width="8.5703125" bestFit="1" customWidth="1"/>
    <col min="17" max="17" width="22.85546875" customWidth="1"/>
    <col min="18" max="18" width="20.85546875" bestFit="1" customWidth="1"/>
    <col min="19" max="19" width="21" style="3" bestFit="1" customWidth="1"/>
  </cols>
  <sheetData>
    <row r="1" spans="1:24" x14ac:dyDescent="0.25">
      <c r="A1" t="s">
        <v>18</v>
      </c>
      <c r="B1" t="s">
        <v>0</v>
      </c>
      <c r="C1" t="s">
        <v>11</v>
      </c>
      <c r="D1" t="s">
        <v>12</v>
      </c>
      <c r="E1" t="s">
        <v>13</v>
      </c>
      <c r="F1" t="s">
        <v>14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s="1" t="s">
        <v>8</v>
      </c>
      <c r="S1" s="3">
        <v>0</v>
      </c>
      <c r="T1">
        <v>1</v>
      </c>
      <c r="U1">
        <v>2</v>
      </c>
      <c r="V1">
        <v>3</v>
      </c>
      <c r="W1">
        <v>4</v>
      </c>
      <c r="X1">
        <v>5</v>
      </c>
    </row>
    <row r="2" spans="1:24" x14ac:dyDescent="0.25">
      <c r="A2"/>
      <c r="B2"/>
      <c r="C2"/>
      <c r="D2"/>
      <c r="E2"/>
      <c r="F2"/>
      <c r="G2"/>
      <c r="H2"/>
      <c r="I2"/>
      <c r="J2"/>
      <c r="K2"/>
      <c r="L2"/>
      <c r="M2"/>
      <c r="N2">
        <f>3-I2</f>
        <v>0</v>
      </c>
      <c r="R2" t="s">
        <v>22</v>
      </c>
      <c r="S2" s="3">
        <v>15</v>
      </c>
    </row>
    <row r="3" spans="1:24" x14ac:dyDescent="0.25">
      <c r="A3"/>
      <c r="B3"/>
      <c r="C3"/>
      <c r="D3"/>
      <c r="E3"/>
      <c r="F3"/>
      <c r="G3"/>
      <c r="H3"/>
      <c r="I3"/>
      <c r="J3"/>
      <c r="K3"/>
      <c r="L3"/>
      <c r="M3"/>
      <c r="N3">
        <f t="shared" ref="N3:N15" si="0">3-I3</f>
        <v>0</v>
      </c>
      <c r="R3" t="s">
        <v>25</v>
      </c>
      <c r="S3" s="3">
        <v>10</v>
      </c>
    </row>
    <row r="4" spans="1:24" x14ac:dyDescent="0.25">
      <c r="A4"/>
      <c r="B4"/>
      <c r="C4"/>
      <c r="D4"/>
      <c r="E4"/>
      <c r="F4"/>
      <c r="G4"/>
      <c r="H4"/>
      <c r="I4"/>
      <c r="J4"/>
      <c r="K4"/>
      <c r="L4"/>
      <c r="M4"/>
      <c r="N4">
        <f t="shared" si="0"/>
        <v>0</v>
      </c>
      <c r="R4" t="s">
        <v>24</v>
      </c>
      <c r="S4" s="3">
        <v>25</v>
      </c>
    </row>
    <row r="5" spans="1:24" x14ac:dyDescent="0.25">
      <c r="A5"/>
      <c r="B5"/>
      <c r="C5"/>
      <c r="D5"/>
      <c r="E5"/>
      <c r="F5"/>
      <c r="G5"/>
      <c r="H5"/>
      <c r="I5"/>
      <c r="J5"/>
      <c r="K5"/>
      <c r="L5"/>
      <c r="M5"/>
      <c r="N5">
        <f t="shared" si="0"/>
        <v>0</v>
      </c>
      <c r="R5" t="s">
        <v>28</v>
      </c>
      <c r="S5" s="3">
        <v>16.666666666666668</v>
      </c>
      <c r="T5">
        <v>0</v>
      </c>
      <c r="U5">
        <v>0</v>
      </c>
      <c r="V5">
        <v>0</v>
      </c>
      <c r="W5">
        <v>0</v>
      </c>
      <c r="X5">
        <v>0</v>
      </c>
    </row>
    <row r="6" spans="1:24" x14ac:dyDescent="0.25">
      <c r="A6" t="s">
        <v>22</v>
      </c>
      <c r="B6" t="s">
        <v>19</v>
      </c>
      <c r="C6">
        <v>6</v>
      </c>
      <c r="D6" t="s">
        <v>15</v>
      </c>
      <c r="E6" t="s">
        <v>17</v>
      </c>
      <c r="F6">
        <v>0</v>
      </c>
      <c r="G6">
        <v>2</v>
      </c>
      <c r="H6">
        <v>17</v>
      </c>
      <c r="I6">
        <v>3</v>
      </c>
      <c r="J6">
        <v>0</v>
      </c>
      <c r="K6">
        <v>15</v>
      </c>
      <c r="L6">
        <v>0</v>
      </c>
      <c r="M6" t="s">
        <v>20</v>
      </c>
      <c r="N6">
        <f t="shared" si="0"/>
        <v>0</v>
      </c>
      <c r="S6" s="7"/>
    </row>
    <row r="7" spans="1:24" x14ac:dyDescent="0.25">
      <c r="A7" t="s">
        <v>22</v>
      </c>
      <c r="B7" t="s">
        <v>21</v>
      </c>
      <c r="C7">
        <v>6</v>
      </c>
      <c r="D7" t="s">
        <v>23</v>
      </c>
      <c r="E7" t="s">
        <v>17</v>
      </c>
      <c r="F7">
        <v>0</v>
      </c>
      <c r="G7">
        <v>2</v>
      </c>
      <c r="H7">
        <v>17</v>
      </c>
      <c r="I7">
        <v>3</v>
      </c>
      <c r="J7">
        <v>0</v>
      </c>
      <c r="K7">
        <v>15</v>
      </c>
      <c r="L7">
        <v>0</v>
      </c>
      <c r="M7" t="s">
        <v>20</v>
      </c>
      <c r="N7">
        <f t="shared" si="0"/>
        <v>0</v>
      </c>
    </row>
    <row r="8" spans="1:24" x14ac:dyDescent="0.25">
      <c r="B8" s="2"/>
      <c r="N8">
        <f t="shared" si="0"/>
        <v>3</v>
      </c>
      <c r="Q8" s="2"/>
    </row>
    <row r="9" spans="1:24" x14ac:dyDescent="0.25">
      <c r="B9" s="2"/>
      <c r="N9">
        <f t="shared" si="0"/>
        <v>3</v>
      </c>
    </row>
    <row r="10" spans="1:24" x14ac:dyDescent="0.25">
      <c r="B10" s="2"/>
      <c r="N10">
        <f t="shared" si="0"/>
        <v>3</v>
      </c>
    </row>
    <row r="11" spans="1:24" x14ac:dyDescent="0.25">
      <c r="B11" s="2"/>
      <c r="N11">
        <f t="shared" si="0"/>
        <v>3</v>
      </c>
    </row>
    <row r="12" spans="1:24" x14ac:dyDescent="0.25">
      <c r="N12">
        <f t="shared" si="0"/>
        <v>3</v>
      </c>
    </row>
    <row r="13" spans="1:24" x14ac:dyDescent="0.25">
      <c r="N13">
        <f t="shared" si="0"/>
        <v>3</v>
      </c>
    </row>
    <row r="14" spans="1:24" x14ac:dyDescent="0.25">
      <c r="N14">
        <f t="shared" si="0"/>
        <v>3</v>
      </c>
    </row>
    <row r="15" spans="1:24" x14ac:dyDescent="0.25">
      <c r="N15">
        <f t="shared" si="0"/>
        <v>3</v>
      </c>
    </row>
    <row r="16" spans="1:24" x14ac:dyDescent="0.25">
      <c r="N16">
        <f t="shared" ref="N16:N66" si="1">3-I18</f>
        <v>3</v>
      </c>
    </row>
    <row r="17" spans="14:14" x14ac:dyDescent="0.25">
      <c r="N17">
        <f t="shared" si="1"/>
        <v>3</v>
      </c>
    </row>
    <row r="18" spans="14:14" x14ac:dyDescent="0.25">
      <c r="N18">
        <f t="shared" si="1"/>
        <v>3</v>
      </c>
    </row>
    <row r="19" spans="14:14" x14ac:dyDescent="0.25">
      <c r="N19">
        <f t="shared" si="1"/>
        <v>3</v>
      </c>
    </row>
    <row r="20" spans="14:14" x14ac:dyDescent="0.25">
      <c r="N20">
        <f t="shared" si="1"/>
        <v>3</v>
      </c>
    </row>
    <row r="21" spans="14:14" x14ac:dyDescent="0.25">
      <c r="N21">
        <f t="shared" si="1"/>
        <v>3</v>
      </c>
    </row>
    <row r="22" spans="14:14" x14ac:dyDescent="0.25">
      <c r="N22">
        <f t="shared" si="1"/>
        <v>3</v>
      </c>
    </row>
    <row r="23" spans="14:14" x14ac:dyDescent="0.25">
      <c r="N23">
        <f t="shared" si="1"/>
        <v>3</v>
      </c>
    </row>
    <row r="24" spans="14:14" x14ac:dyDescent="0.25">
      <c r="N24">
        <f t="shared" si="1"/>
        <v>3</v>
      </c>
    </row>
    <row r="25" spans="14:14" x14ac:dyDescent="0.25">
      <c r="N25">
        <f t="shared" si="1"/>
        <v>3</v>
      </c>
    </row>
    <row r="26" spans="14:14" x14ac:dyDescent="0.25">
      <c r="N26">
        <f t="shared" si="1"/>
        <v>3</v>
      </c>
    </row>
    <row r="27" spans="14:14" x14ac:dyDescent="0.25">
      <c r="N27">
        <f t="shared" si="1"/>
        <v>3</v>
      </c>
    </row>
    <row r="28" spans="14:14" x14ac:dyDescent="0.25">
      <c r="N28">
        <f t="shared" si="1"/>
        <v>3</v>
      </c>
    </row>
    <row r="29" spans="14:14" x14ac:dyDescent="0.25">
      <c r="N29">
        <f t="shared" si="1"/>
        <v>3</v>
      </c>
    </row>
    <row r="30" spans="14:14" x14ac:dyDescent="0.25">
      <c r="N30">
        <f t="shared" si="1"/>
        <v>3</v>
      </c>
    </row>
    <row r="31" spans="14:14" x14ac:dyDescent="0.25">
      <c r="N31">
        <f t="shared" si="1"/>
        <v>3</v>
      </c>
    </row>
    <row r="32" spans="14:14" x14ac:dyDescent="0.25">
      <c r="N32">
        <f t="shared" si="1"/>
        <v>3</v>
      </c>
    </row>
    <row r="33" spans="14:14" x14ac:dyDescent="0.25">
      <c r="N33">
        <f t="shared" si="1"/>
        <v>3</v>
      </c>
    </row>
    <row r="34" spans="14:14" x14ac:dyDescent="0.25">
      <c r="N34">
        <f t="shared" si="1"/>
        <v>3</v>
      </c>
    </row>
    <row r="35" spans="14:14" x14ac:dyDescent="0.25">
      <c r="N35">
        <f t="shared" si="1"/>
        <v>3</v>
      </c>
    </row>
    <row r="36" spans="14:14" x14ac:dyDescent="0.25">
      <c r="N36">
        <f t="shared" si="1"/>
        <v>3</v>
      </c>
    </row>
    <row r="37" spans="14:14" x14ac:dyDescent="0.25">
      <c r="N37">
        <f t="shared" si="1"/>
        <v>3</v>
      </c>
    </row>
    <row r="38" spans="14:14" x14ac:dyDescent="0.25">
      <c r="N38">
        <f t="shared" si="1"/>
        <v>3</v>
      </c>
    </row>
    <row r="39" spans="14:14" x14ac:dyDescent="0.25">
      <c r="N39">
        <f t="shared" si="1"/>
        <v>3</v>
      </c>
    </row>
    <row r="40" spans="14:14" x14ac:dyDescent="0.25">
      <c r="N40">
        <f t="shared" si="1"/>
        <v>3</v>
      </c>
    </row>
    <row r="41" spans="14:14" x14ac:dyDescent="0.25">
      <c r="N41">
        <f t="shared" si="1"/>
        <v>3</v>
      </c>
    </row>
    <row r="42" spans="14:14" x14ac:dyDescent="0.25">
      <c r="N42">
        <f t="shared" si="1"/>
        <v>3</v>
      </c>
    </row>
    <row r="43" spans="14:14" x14ac:dyDescent="0.25">
      <c r="N43">
        <f t="shared" si="1"/>
        <v>3</v>
      </c>
    </row>
    <row r="44" spans="14:14" x14ac:dyDescent="0.25">
      <c r="N44">
        <f t="shared" si="1"/>
        <v>3</v>
      </c>
    </row>
    <row r="45" spans="14:14" x14ac:dyDescent="0.25">
      <c r="N45">
        <f t="shared" si="1"/>
        <v>3</v>
      </c>
    </row>
    <row r="46" spans="14:14" x14ac:dyDescent="0.25">
      <c r="N46">
        <f t="shared" si="1"/>
        <v>3</v>
      </c>
    </row>
    <row r="47" spans="14:14" x14ac:dyDescent="0.25">
      <c r="N47">
        <f t="shared" si="1"/>
        <v>3</v>
      </c>
    </row>
    <row r="48" spans="14:14" x14ac:dyDescent="0.25">
      <c r="N48">
        <f t="shared" si="1"/>
        <v>3</v>
      </c>
    </row>
    <row r="49" spans="14:14" x14ac:dyDescent="0.25">
      <c r="N49">
        <f t="shared" si="1"/>
        <v>3</v>
      </c>
    </row>
    <row r="50" spans="14:14" x14ac:dyDescent="0.25">
      <c r="N50">
        <f t="shared" si="1"/>
        <v>3</v>
      </c>
    </row>
    <row r="51" spans="14:14" x14ac:dyDescent="0.25">
      <c r="N51">
        <f t="shared" si="1"/>
        <v>3</v>
      </c>
    </row>
    <row r="52" spans="14:14" x14ac:dyDescent="0.25">
      <c r="N52">
        <f t="shared" si="1"/>
        <v>3</v>
      </c>
    </row>
    <row r="53" spans="14:14" x14ac:dyDescent="0.25">
      <c r="N53">
        <f t="shared" si="1"/>
        <v>3</v>
      </c>
    </row>
    <row r="54" spans="14:14" x14ac:dyDescent="0.25">
      <c r="N54">
        <f t="shared" si="1"/>
        <v>3</v>
      </c>
    </row>
    <row r="55" spans="14:14" x14ac:dyDescent="0.25">
      <c r="N55">
        <f t="shared" si="1"/>
        <v>3</v>
      </c>
    </row>
    <row r="56" spans="14:14" x14ac:dyDescent="0.25">
      <c r="N56">
        <f t="shared" si="1"/>
        <v>3</v>
      </c>
    </row>
    <row r="57" spans="14:14" x14ac:dyDescent="0.25">
      <c r="N57">
        <f t="shared" si="1"/>
        <v>3</v>
      </c>
    </row>
    <row r="58" spans="14:14" x14ac:dyDescent="0.25">
      <c r="N58">
        <f t="shared" si="1"/>
        <v>3</v>
      </c>
    </row>
    <row r="59" spans="14:14" x14ac:dyDescent="0.25">
      <c r="N59">
        <f t="shared" si="1"/>
        <v>3</v>
      </c>
    </row>
    <row r="60" spans="14:14" x14ac:dyDescent="0.25">
      <c r="N60">
        <f t="shared" si="1"/>
        <v>3</v>
      </c>
    </row>
    <row r="61" spans="14:14" x14ac:dyDescent="0.25">
      <c r="N61">
        <f t="shared" si="1"/>
        <v>3</v>
      </c>
    </row>
    <row r="62" spans="14:14" x14ac:dyDescent="0.25">
      <c r="N62">
        <f t="shared" si="1"/>
        <v>3</v>
      </c>
    </row>
    <row r="63" spans="14:14" x14ac:dyDescent="0.25">
      <c r="N63">
        <f t="shared" si="1"/>
        <v>3</v>
      </c>
    </row>
    <row r="64" spans="14:14" x14ac:dyDescent="0.25">
      <c r="N64">
        <f t="shared" si="1"/>
        <v>3</v>
      </c>
    </row>
    <row r="65" spans="14:14" x14ac:dyDescent="0.25">
      <c r="N65">
        <f t="shared" si="1"/>
        <v>3</v>
      </c>
    </row>
    <row r="66" spans="14:14" x14ac:dyDescent="0.25">
      <c r="N66">
        <f t="shared" si="1"/>
        <v>3</v>
      </c>
    </row>
    <row r="67" spans="14:14" x14ac:dyDescent="0.25">
      <c r="N67">
        <f t="shared" ref="N67:N113" si="2">3-I69</f>
        <v>3</v>
      </c>
    </row>
    <row r="68" spans="14:14" x14ac:dyDescent="0.25">
      <c r="N68">
        <f t="shared" si="2"/>
        <v>3</v>
      </c>
    </row>
    <row r="69" spans="14:14" x14ac:dyDescent="0.25">
      <c r="N69">
        <f t="shared" si="2"/>
        <v>3</v>
      </c>
    </row>
    <row r="70" spans="14:14" x14ac:dyDescent="0.25">
      <c r="N70">
        <f t="shared" si="2"/>
        <v>3</v>
      </c>
    </row>
    <row r="71" spans="14:14" x14ac:dyDescent="0.25">
      <c r="N71">
        <f t="shared" si="2"/>
        <v>3</v>
      </c>
    </row>
    <row r="72" spans="14:14" x14ac:dyDescent="0.25">
      <c r="N72">
        <f t="shared" si="2"/>
        <v>3</v>
      </c>
    </row>
    <row r="73" spans="14:14" x14ac:dyDescent="0.25">
      <c r="N73">
        <f t="shared" si="2"/>
        <v>3</v>
      </c>
    </row>
    <row r="74" spans="14:14" x14ac:dyDescent="0.25">
      <c r="N74">
        <f t="shared" si="2"/>
        <v>3</v>
      </c>
    </row>
    <row r="75" spans="14:14" x14ac:dyDescent="0.25">
      <c r="N75">
        <f t="shared" si="2"/>
        <v>3</v>
      </c>
    </row>
    <row r="76" spans="14:14" x14ac:dyDescent="0.25">
      <c r="N76">
        <f t="shared" si="2"/>
        <v>3</v>
      </c>
    </row>
    <row r="77" spans="14:14" x14ac:dyDescent="0.25">
      <c r="N77">
        <f t="shared" si="2"/>
        <v>3</v>
      </c>
    </row>
    <row r="78" spans="14:14" x14ac:dyDescent="0.25">
      <c r="N78">
        <f t="shared" si="2"/>
        <v>3</v>
      </c>
    </row>
    <row r="79" spans="14:14" x14ac:dyDescent="0.25">
      <c r="N79">
        <f t="shared" si="2"/>
        <v>3</v>
      </c>
    </row>
    <row r="80" spans="14:14" x14ac:dyDescent="0.25">
      <c r="N80">
        <f t="shared" si="2"/>
        <v>3</v>
      </c>
    </row>
    <row r="81" spans="14:14" x14ac:dyDescent="0.25">
      <c r="N81">
        <f t="shared" si="2"/>
        <v>3</v>
      </c>
    </row>
    <row r="82" spans="14:14" x14ac:dyDescent="0.25">
      <c r="N82">
        <f t="shared" si="2"/>
        <v>3</v>
      </c>
    </row>
    <row r="83" spans="14:14" x14ac:dyDescent="0.25">
      <c r="N83">
        <f t="shared" si="2"/>
        <v>3</v>
      </c>
    </row>
    <row r="84" spans="14:14" x14ac:dyDescent="0.25">
      <c r="N84">
        <f t="shared" si="2"/>
        <v>3</v>
      </c>
    </row>
    <row r="85" spans="14:14" x14ac:dyDescent="0.25">
      <c r="N85">
        <f t="shared" si="2"/>
        <v>3</v>
      </c>
    </row>
    <row r="86" spans="14:14" x14ac:dyDescent="0.25">
      <c r="N86">
        <f t="shared" si="2"/>
        <v>3</v>
      </c>
    </row>
    <row r="87" spans="14:14" x14ac:dyDescent="0.25">
      <c r="N87">
        <f t="shared" si="2"/>
        <v>3</v>
      </c>
    </row>
    <row r="88" spans="14:14" x14ac:dyDescent="0.25">
      <c r="N88">
        <f t="shared" si="2"/>
        <v>3</v>
      </c>
    </row>
    <row r="89" spans="14:14" x14ac:dyDescent="0.25">
      <c r="N89">
        <f t="shared" si="2"/>
        <v>3</v>
      </c>
    </row>
    <row r="90" spans="14:14" x14ac:dyDescent="0.25">
      <c r="N90">
        <f t="shared" si="2"/>
        <v>3</v>
      </c>
    </row>
    <row r="91" spans="14:14" x14ac:dyDescent="0.25">
      <c r="N91">
        <f t="shared" si="2"/>
        <v>3</v>
      </c>
    </row>
    <row r="92" spans="14:14" x14ac:dyDescent="0.25">
      <c r="N92">
        <f t="shared" si="2"/>
        <v>3</v>
      </c>
    </row>
    <row r="93" spans="14:14" x14ac:dyDescent="0.25">
      <c r="N93">
        <f t="shared" si="2"/>
        <v>3</v>
      </c>
    </row>
    <row r="94" spans="14:14" x14ac:dyDescent="0.25">
      <c r="N94">
        <f t="shared" si="2"/>
        <v>3</v>
      </c>
    </row>
    <row r="95" spans="14:14" x14ac:dyDescent="0.25">
      <c r="N95">
        <f t="shared" si="2"/>
        <v>3</v>
      </c>
    </row>
    <row r="96" spans="14:14" x14ac:dyDescent="0.25">
      <c r="N96">
        <f t="shared" si="2"/>
        <v>3</v>
      </c>
    </row>
    <row r="97" spans="14:14" x14ac:dyDescent="0.25">
      <c r="N97">
        <f t="shared" si="2"/>
        <v>3</v>
      </c>
    </row>
    <row r="98" spans="14:14" x14ac:dyDescent="0.25">
      <c r="N98">
        <f t="shared" si="2"/>
        <v>3</v>
      </c>
    </row>
    <row r="99" spans="14:14" x14ac:dyDescent="0.25">
      <c r="N99">
        <f t="shared" si="2"/>
        <v>3</v>
      </c>
    </row>
    <row r="100" spans="14:14" x14ac:dyDescent="0.25">
      <c r="N100">
        <f t="shared" si="2"/>
        <v>3</v>
      </c>
    </row>
    <row r="101" spans="14:14" x14ac:dyDescent="0.25">
      <c r="N101">
        <f t="shared" si="2"/>
        <v>3</v>
      </c>
    </row>
    <row r="102" spans="14:14" x14ac:dyDescent="0.25">
      <c r="N102">
        <f t="shared" si="2"/>
        <v>3</v>
      </c>
    </row>
    <row r="103" spans="14:14" x14ac:dyDescent="0.25">
      <c r="N103">
        <f t="shared" si="2"/>
        <v>3</v>
      </c>
    </row>
    <row r="104" spans="14:14" x14ac:dyDescent="0.25">
      <c r="N104">
        <f t="shared" si="2"/>
        <v>3</v>
      </c>
    </row>
    <row r="105" spans="14:14" x14ac:dyDescent="0.25">
      <c r="N105">
        <f t="shared" si="2"/>
        <v>3</v>
      </c>
    </row>
    <row r="106" spans="14:14" x14ac:dyDescent="0.25">
      <c r="N106">
        <f t="shared" si="2"/>
        <v>3</v>
      </c>
    </row>
    <row r="107" spans="14:14" x14ac:dyDescent="0.25">
      <c r="N107">
        <f t="shared" si="2"/>
        <v>3</v>
      </c>
    </row>
    <row r="108" spans="14:14" x14ac:dyDescent="0.25">
      <c r="N108">
        <f t="shared" si="2"/>
        <v>3</v>
      </c>
    </row>
    <row r="109" spans="14:14" x14ac:dyDescent="0.25">
      <c r="N109">
        <f t="shared" si="2"/>
        <v>3</v>
      </c>
    </row>
    <row r="110" spans="14:14" x14ac:dyDescent="0.25">
      <c r="N110">
        <f t="shared" si="2"/>
        <v>3</v>
      </c>
    </row>
    <row r="111" spans="14:14" x14ac:dyDescent="0.25">
      <c r="N111">
        <f t="shared" si="2"/>
        <v>3</v>
      </c>
    </row>
    <row r="112" spans="14:14" x14ac:dyDescent="0.25">
      <c r="N112">
        <f t="shared" si="2"/>
        <v>3</v>
      </c>
    </row>
    <row r="113" spans="14:14" x14ac:dyDescent="0.25">
      <c r="N113">
        <f t="shared" si="2"/>
        <v>3</v>
      </c>
    </row>
    <row r="114" spans="14:14" x14ac:dyDescent="0.25">
      <c r="N114">
        <f t="shared" ref="N114" si="3">3-I70</f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ommandButton22">
          <controlPr defaultSize="0" autoLine="0" r:id="rId5">
            <anchor moveWithCells="1">
              <from>
                <xdr:col>15</xdr:col>
                <xdr:colOff>419100</xdr:colOff>
                <xdr:row>3</xdr:row>
                <xdr:rowOff>123825</xdr:rowOff>
              </from>
              <to>
                <xdr:col>16</xdr:col>
                <xdr:colOff>1057275</xdr:colOff>
                <xdr:row>5</xdr:row>
                <xdr:rowOff>47625</xdr:rowOff>
              </to>
            </anchor>
          </controlPr>
        </control>
      </mc:Choice>
      <mc:Fallback>
        <control shapeId="13316" r:id="rId4" name="CommandButton22"/>
      </mc:Fallback>
    </mc:AlternateContent>
    <mc:AlternateContent xmlns:mc="http://schemas.openxmlformats.org/markup-compatibility/2006">
      <mc:Choice Requires="x14">
        <control shapeId="13315" r:id="rId6" name="CommandButton21">
          <controlPr defaultSize="0" autoLine="0" r:id="rId7">
            <anchor moveWithCells="1">
              <from>
                <xdr:col>15</xdr:col>
                <xdr:colOff>438150</xdr:colOff>
                <xdr:row>1</xdr:row>
                <xdr:rowOff>0</xdr:rowOff>
              </from>
              <to>
                <xdr:col>16</xdr:col>
                <xdr:colOff>1114425</xdr:colOff>
                <xdr:row>2</xdr:row>
                <xdr:rowOff>133350</xdr:rowOff>
              </to>
            </anchor>
          </controlPr>
        </control>
      </mc:Choice>
      <mc:Fallback>
        <control shapeId="13315" r:id="rId6" name="CommandButton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tabSelected="1" workbookViewId="0"/>
  </sheetViews>
  <sheetFormatPr defaultRowHeight="15" x14ac:dyDescent="0.25"/>
  <cols>
    <col min="1" max="1" width="22.85546875" customWidth="1"/>
    <col min="2" max="2" width="15" customWidth="1"/>
  </cols>
  <sheetData>
    <row r="1" spans="1:2" x14ac:dyDescent="0.25">
      <c r="A1" s="4" t="s">
        <v>9</v>
      </c>
      <c r="B1" t="s">
        <v>32</v>
      </c>
    </row>
    <row r="2" spans="1:2" x14ac:dyDescent="0.25">
      <c r="A2" s="5" t="s">
        <v>22</v>
      </c>
      <c r="B2" s="3">
        <v>34</v>
      </c>
    </row>
    <row r="3" spans="1:2" x14ac:dyDescent="0.25">
      <c r="A3" s="6">
        <v>0</v>
      </c>
      <c r="B3" s="3">
        <v>34</v>
      </c>
    </row>
    <row r="4" spans="1:2" x14ac:dyDescent="0.25">
      <c r="A4" s="5" t="s">
        <v>24</v>
      </c>
      <c r="B4" s="3">
        <v>32</v>
      </c>
    </row>
    <row r="5" spans="1:2" x14ac:dyDescent="0.25">
      <c r="A5" s="6">
        <v>0</v>
      </c>
      <c r="B5" s="3">
        <v>32</v>
      </c>
    </row>
    <row r="6" spans="1:2" x14ac:dyDescent="0.25">
      <c r="A6" s="5" t="s">
        <v>25</v>
      </c>
      <c r="B6" s="3">
        <v>95</v>
      </c>
    </row>
    <row r="7" spans="1:2" x14ac:dyDescent="0.25">
      <c r="A7" s="6">
        <v>0</v>
      </c>
      <c r="B7" s="3">
        <v>95</v>
      </c>
    </row>
    <row r="8" spans="1:2" x14ac:dyDescent="0.25">
      <c r="A8" s="5" t="s">
        <v>10</v>
      </c>
      <c r="B8" s="3">
        <v>161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6"/>
  <dimension ref="A1:B8"/>
  <sheetViews>
    <sheetView workbookViewId="0"/>
  </sheetViews>
  <sheetFormatPr defaultRowHeight="15" x14ac:dyDescent="0.25"/>
  <cols>
    <col min="1" max="1" width="22.85546875" customWidth="1"/>
    <col min="2" max="2" width="13.85546875" customWidth="1"/>
  </cols>
  <sheetData>
    <row r="1" spans="1:2" x14ac:dyDescent="0.25">
      <c r="A1" s="4" t="s">
        <v>9</v>
      </c>
      <c r="B1" t="s">
        <v>16</v>
      </c>
    </row>
    <row r="2" spans="1:2" x14ac:dyDescent="0.25">
      <c r="A2" s="5" t="s">
        <v>22</v>
      </c>
      <c r="B2" s="3">
        <v>0</v>
      </c>
    </row>
    <row r="3" spans="1:2" x14ac:dyDescent="0.25">
      <c r="A3" s="6">
        <v>0</v>
      </c>
      <c r="B3" s="3">
        <v>0</v>
      </c>
    </row>
    <row r="4" spans="1:2" x14ac:dyDescent="0.25">
      <c r="A4" s="5" t="s">
        <v>24</v>
      </c>
      <c r="B4" s="3">
        <v>0</v>
      </c>
    </row>
    <row r="5" spans="1:2" x14ac:dyDescent="0.25">
      <c r="A5" s="6">
        <v>0</v>
      </c>
      <c r="B5" s="3">
        <v>0</v>
      </c>
    </row>
    <row r="6" spans="1:2" x14ac:dyDescent="0.25">
      <c r="A6" s="5" t="s">
        <v>25</v>
      </c>
      <c r="B6" s="3">
        <v>0</v>
      </c>
    </row>
    <row r="7" spans="1:2" x14ac:dyDescent="0.25">
      <c r="A7" s="6">
        <v>0</v>
      </c>
      <c r="B7" s="3">
        <v>0</v>
      </c>
    </row>
    <row r="8" spans="1:2" x14ac:dyDescent="0.25">
      <c r="A8" s="5" t="s">
        <v>10</v>
      </c>
      <c r="B8" s="3">
        <v>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E4"/>
  <sheetViews>
    <sheetView workbookViewId="0">
      <selection activeCell="J15" sqref="J15"/>
    </sheetView>
  </sheetViews>
  <sheetFormatPr defaultRowHeight="15" x14ac:dyDescent="0.25"/>
  <cols>
    <col min="1" max="1" width="18" customWidth="1"/>
    <col min="2" max="2" width="20" bestFit="1" customWidth="1"/>
    <col min="3" max="4" width="21" bestFit="1" customWidth="1"/>
    <col min="5" max="5" width="10.7109375" customWidth="1"/>
    <col min="6" max="6" width="10.7109375" bestFit="1" customWidth="1"/>
  </cols>
  <sheetData>
    <row r="1" spans="1:5" x14ac:dyDescent="0.25">
      <c r="A1" s="4" t="s">
        <v>31</v>
      </c>
      <c r="B1" s="4" t="s">
        <v>30</v>
      </c>
    </row>
    <row r="2" spans="1:5" x14ac:dyDescent="0.25">
      <c r="A2" s="4" t="s">
        <v>9</v>
      </c>
      <c r="B2" t="s">
        <v>22</v>
      </c>
      <c r="C2" t="s">
        <v>24</v>
      </c>
      <c r="D2" t="s">
        <v>25</v>
      </c>
      <c r="E2" t="s">
        <v>10</v>
      </c>
    </row>
    <row r="3" spans="1:5" x14ac:dyDescent="0.25">
      <c r="A3" s="5">
        <v>0</v>
      </c>
      <c r="B3" s="3">
        <v>30</v>
      </c>
      <c r="C3" s="3">
        <v>50</v>
      </c>
      <c r="D3" s="3">
        <v>20</v>
      </c>
      <c r="E3" s="3">
        <v>100</v>
      </c>
    </row>
    <row r="4" spans="1:5" x14ac:dyDescent="0.25">
      <c r="A4" s="5" t="s">
        <v>10</v>
      </c>
      <c r="B4" s="3">
        <v>30</v>
      </c>
      <c r="C4" s="3">
        <v>50</v>
      </c>
      <c r="D4" s="3">
        <v>20</v>
      </c>
      <c r="E4" s="3">
        <v>100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:B6"/>
  <sheetViews>
    <sheetView workbookViewId="0"/>
  </sheetViews>
  <sheetFormatPr defaultRowHeight="15" x14ac:dyDescent="0.25"/>
  <cols>
    <col min="1" max="1" width="24.7109375" bestFit="1" customWidth="1"/>
    <col min="2" max="2" width="19.7109375" bestFit="1" customWidth="1"/>
  </cols>
  <sheetData>
    <row r="1" spans="1:2" x14ac:dyDescent="0.25">
      <c r="A1" s="4" t="s">
        <v>9</v>
      </c>
      <c r="B1" t="s">
        <v>29</v>
      </c>
    </row>
    <row r="2" spans="1:2" x14ac:dyDescent="0.25">
      <c r="A2" s="5">
        <v>0</v>
      </c>
      <c r="B2" s="3">
        <v>0</v>
      </c>
    </row>
    <row r="3" spans="1:2" x14ac:dyDescent="0.25">
      <c r="A3" s="6" t="s">
        <v>22</v>
      </c>
      <c r="B3" s="3">
        <v>0</v>
      </c>
    </row>
    <row r="4" spans="1:2" x14ac:dyDescent="0.25">
      <c r="A4" s="6" t="s">
        <v>24</v>
      </c>
      <c r="B4" s="3">
        <v>0</v>
      </c>
    </row>
    <row r="5" spans="1:2" x14ac:dyDescent="0.25">
      <c r="A5" s="6" t="s">
        <v>25</v>
      </c>
      <c r="B5" s="3">
        <v>0</v>
      </c>
    </row>
    <row r="6" spans="1:2" x14ac:dyDescent="0.25">
      <c r="A6" s="5" t="s">
        <v>10</v>
      </c>
      <c r="B6" s="3">
        <v>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C14"/>
  <sheetViews>
    <sheetView workbookViewId="0">
      <selection activeCell="D17" sqref="D17"/>
    </sheetView>
  </sheetViews>
  <sheetFormatPr defaultRowHeight="15" x14ac:dyDescent="0.25"/>
  <cols>
    <col min="1" max="1" width="22.85546875" bestFit="1" customWidth="1"/>
    <col min="2" max="2" width="13.85546875" customWidth="1"/>
    <col min="3" max="3" width="13.42578125" customWidth="1"/>
  </cols>
  <sheetData>
    <row r="1" spans="1:3" x14ac:dyDescent="0.25">
      <c r="A1" s="4" t="s">
        <v>9</v>
      </c>
      <c r="B1" t="s">
        <v>27</v>
      </c>
      <c r="C1" t="s">
        <v>26</v>
      </c>
    </row>
    <row r="2" spans="1:3" x14ac:dyDescent="0.25">
      <c r="A2" s="5" t="s">
        <v>22</v>
      </c>
      <c r="B2" s="3">
        <v>0</v>
      </c>
      <c r="C2" s="3">
        <v>4</v>
      </c>
    </row>
    <row r="3" spans="1:3" x14ac:dyDescent="0.25">
      <c r="A3" s="6">
        <v>0</v>
      </c>
      <c r="B3" s="3">
        <v>0</v>
      </c>
      <c r="C3" s="3">
        <v>4</v>
      </c>
    </row>
    <row r="4" spans="1:3" x14ac:dyDescent="0.25">
      <c r="A4" s="8" t="s">
        <v>19</v>
      </c>
      <c r="B4" s="3">
        <v>0</v>
      </c>
      <c r="C4" s="3">
        <v>2</v>
      </c>
    </row>
    <row r="5" spans="1:3" x14ac:dyDescent="0.25">
      <c r="A5" s="8" t="s">
        <v>21</v>
      </c>
      <c r="B5" s="3">
        <v>0</v>
      </c>
      <c r="C5" s="3">
        <v>2</v>
      </c>
    </row>
    <row r="6" spans="1:3" x14ac:dyDescent="0.25">
      <c r="A6" s="5" t="s">
        <v>24</v>
      </c>
      <c r="B6" s="3">
        <v>1</v>
      </c>
      <c r="C6" s="3">
        <v>3</v>
      </c>
    </row>
    <row r="7" spans="1:3" x14ac:dyDescent="0.25">
      <c r="A7" s="6">
        <v>0</v>
      </c>
      <c r="B7" s="3">
        <v>1</v>
      </c>
      <c r="C7" s="3">
        <v>3</v>
      </c>
    </row>
    <row r="8" spans="1:3" x14ac:dyDescent="0.25">
      <c r="A8" s="8" t="s">
        <v>19</v>
      </c>
      <c r="B8" s="3">
        <v>1</v>
      </c>
      <c r="C8" s="3">
        <v>1</v>
      </c>
    </row>
    <row r="9" spans="1:3" x14ac:dyDescent="0.25">
      <c r="A9" s="8" t="s">
        <v>21</v>
      </c>
      <c r="B9" s="3">
        <v>0</v>
      </c>
      <c r="C9" s="3">
        <v>2</v>
      </c>
    </row>
    <row r="10" spans="1:3" x14ac:dyDescent="0.25">
      <c r="A10" s="5" t="s">
        <v>25</v>
      </c>
      <c r="B10" s="3">
        <v>4</v>
      </c>
      <c r="C10" s="3">
        <v>3</v>
      </c>
    </row>
    <row r="11" spans="1:3" x14ac:dyDescent="0.25">
      <c r="A11" s="6">
        <v>0</v>
      </c>
      <c r="B11" s="3">
        <v>4</v>
      </c>
      <c r="C11" s="3">
        <v>3</v>
      </c>
    </row>
    <row r="12" spans="1:3" x14ac:dyDescent="0.25">
      <c r="A12" s="8" t="s">
        <v>19</v>
      </c>
      <c r="B12" s="3">
        <v>0</v>
      </c>
      <c r="C12" s="3">
        <v>2</v>
      </c>
    </row>
    <row r="13" spans="1:3" x14ac:dyDescent="0.25">
      <c r="A13" s="8" t="s">
        <v>21</v>
      </c>
      <c r="B13" s="3">
        <v>4</v>
      </c>
      <c r="C13" s="3">
        <v>1</v>
      </c>
    </row>
    <row r="14" spans="1:3" x14ac:dyDescent="0.25">
      <c r="A14" s="5" t="s">
        <v>10</v>
      </c>
      <c r="B14" s="3">
        <v>5</v>
      </c>
      <c r="C14" s="3">
        <v>10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1:B11"/>
  <sheetViews>
    <sheetView workbookViewId="0">
      <selection activeCell="D15" sqref="D15"/>
    </sheetView>
  </sheetViews>
  <sheetFormatPr defaultRowHeight="15" x14ac:dyDescent="0.25"/>
  <cols>
    <col min="1" max="1" width="22.85546875" bestFit="1" customWidth="1"/>
    <col min="2" max="2" width="13.85546875" bestFit="1" customWidth="1"/>
  </cols>
  <sheetData>
    <row r="1" spans="1:2" x14ac:dyDescent="0.25">
      <c r="A1" s="4" t="s">
        <v>9</v>
      </c>
      <c r="B1" t="s">
        <v>16</v>
      </c>
    </row>
    <row r="2" spans="1:2" x14ac:dyDescent="0.25">
      <c r="A2" s="5" t="s">
        <v>22</v>
      </c>
      <c r="B2" s="3">
        <v>0</v>
      </c>
    </row>
    <row r="3" spans="1:2" x14ac:dyDescent="0.25">
      <c r="A3" s="6" t="s">
        <v>19</v>
      </c>
      <c r="B3" s="3">
        <v>0</v>
      </c>
    </row>
    <row r="4" spans="1:2" x14ac:dyDescent="0.25">
      <c r="A4" s="6" t="s">
        <v>21</v>
      </c>
      <c r="B4" s="3">
        <v>0</v>
      </c>
    </row>
    <row r="5" spans="1:2" x14ac:dyDescent="0.25">
      <c r="A5" s="5" t="s">
        <v>24</v>
      </c>
      <c r="B5" s="3">
        <v>0</v>
      </c>
    </row>
    <row r="6" spans="1:2" x14ac:dyDescent="0.25">
      <c r="A6" s="6" t="s">
        <v>19</v>
      </c>
      <c r="B6" s="3">
        <v>0</v>
      </c>
    </row>
    <row r="7" spans="1:2" x14ac:dyDescent="0.25">
      <c r="A7" s="6" t="s">
        <v>21</v>
      </c>
      <c r="B7" s="3">
        <v>0</v>
      </c>
    </row>
    <row r="8" spans="1:2" x14ac:dyDescent="0.25">
      <c r="A8" s="5" t="s">
        <v>25</v>
      </c>
      <c r="B8" s="3">
        <v>0</v>
      </c>
    </row>
    <row r="9" spans="1:2" x14ac:dyDescent="0.25">
      <c r="A9" s="6" t="s">
        <v>19</v>
      </c>
      <c r="B9" s="3">
        <v>0</v>
      </c>
    </row>
    <row r="10" spans="1:2" x14ac:dyDescent="0.25">
      <c r="A10" s="6" t="s">
        <v>21</v>
      </c>
      <c r="B10" s="3">
        <v>0</v>
      </c>
    </row>
    <row r="11" spans="1:2" x14ac:dyDescent="0.25">
      <c r="A11" s="5" t="s">
        <v>10</v>
      </c>
      <c r="B11" s="3">
        <v>0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Props1.xml><?xml version="1.0" encoding="utf-8"?>
<ds:datastoreItem xmlns:ds="http://schemas.openxmlformats.org/officeDocument/2006/customXml" ds:itemID="{F0AFF6CC-0D72-44FA-BF27-2AFB025D56E1}">
  <ds:schemaRefs/>
</ds:datastoreItem>
</file>

<file path=customXml/itemProps2.xml><?xml version="1.0" encoding="utf-8"?>
<ds:datastoreItem xmlns:ds="http://schemas.openxmlformats.org/officeDocument/2006/customXml" ds:itemID="{B58CB078-5C52-4D58-9BB4-0856213262D9}">
  <ds:schemaRefs/>
</ds:datastoreItem>
</file>

<file path=customXml/itemProps3.xml><?xml version="1.0" encoding="utf-8"?>
<ds:datastoreItem xmlns:ds="http://schemas.openxmlformats.org/officeDocument/2006/customXml" ds:itemID="{43B7FA70-3B71-4162-BA41-5512E2F40C5F}">
  <ds:schemaRefs/>
</ds:datastoreItem>
</file>

<file path=customXml/itemProps4.xml><?xml version="1.0" encoding="utf-8"?>
<ds:datastoreItem xmlns:ds="http://schemas.openxmlformats.org/officeDocument/2006/customXml" ds:itemID="{F47FC4FB-8A6B-42FB-98F5-9653B2733DCC}">
  <ds:schemaRefs/>
</ds:datastoreItem>
</file>

<file path=customXml/itemProps5.xml><?xml version="1.0" encoding="utf-8"?>
<ds:datastoreItem xmlns:ds="http://schemas.openxmlformats.org/officeDocument/2006/customXml" ds:itemID="{542C8FC4-8936-4065-AB6B-B0C0826EA437}">
  <ds:schemaRefs/>
</ds:datastoreItem>
</file>

<file path=customXml/itemProps6.xml><?xml version="1.0" encoding="utf-8"?>
<ds:datastoreItem xmlns:ds="http://schemas.openxmlformats.org/officeDocument/2006/customXml" ds:itemID="{80C9176F-60C0-4675-97CC-E008100B3BC7}">
  <ds:schemaRefs/>
</ds:datastoreItem>
</file>

<file path=customXml/itemProps7.xml><?xml version="1.0" encoding="utf-8"?>
<ds:datastoreItem xmlns:ds="http://schemas.openxmlformats.org/officeDocument/2006/customXml" ds:itemID="{8F9DD7D7-7590-42E3-A9B2-9EF97074BB30}">
  <ds:schemaRefs/>
</ds:datastoreItem>
</file>

<file path=customXml/itemProps8.xml><?xml version="1.0" encoding="utf-8"?>
<ds:datastoreItem xmlns:ds="http://schemas.openxmlformats.org/officeDocument/2006/customXml" ds:itemID="{2AB29B8B-F41B-40DE-84CD-E0BB07F54064}">
  <ds:schemaRefs/>
</ds:datastoreItem>
</file>

<file path=customXml/itemProps9.xml><?xml version="1.0" encoding="utf-8"?>
<ds:datastoreItem xmlns:ds="http://schemas.openxmlformats.org/officeDocument/2006/customXml" ds:itemID="{C1E9052E-0FB4-45F6-8D67-441259B0E3F7}">
  <ds:schemaRefs/>
</ds:datastoreItem>
</file>

<file path=customXml/itemProps10.xml><?xml version="1.0" encoding="utf-8"?>
<ds:datastoreItem xmlns:ds="http://schemas.openxmlformats.org/officeDocument/2006/customXml" ds:itemID="{895CCD80-04F9-4E30-8463-F251CE91C2C5}">
  <ds:schemaRefs/>
</ds:datastoreItem>
</file>

<file path=customXml/itemProps11.xml><?xml version="1.0" encoding="utf-8"?>
<ds:datastoreItem xmlns:ds="http://schemas.openxmlformats.org/officeDocument/2006/customXml" ds:itemID="{F717413A-4AC2-47C7-B7E1-51241E73CED6}">
  <ds:schemaRefs/>
</ds:datastoreItem>
</file>

<file path=customXml/itemProps12.xml><?xml version="1.0" encoding="utf-8"?>
<ds:datastoreItem xmlns:ds="http://schemas.openxmlformats.org/officeDocument/2006/customXml" ds:itemID="{5111F44B-BB14-4AEA-AD3B-7FE047E80C99}">
  <ds:schemaRefs/>
</ds:datastoreItem>
</file>

<file path=customXml/itemProps13.xml><?xml version="1.0" encoding="utf-8"?>
<ds:datastoreItem xmlns:ds="http://schemas.openxmlformats.org/officeDocument/2006/customXml" ds:itemID="{BA0B0127-A384-4491-9AFF-7BBC508C08E9}">
  <ds:schemaRefs/>
</ds:datastoreItem>
</file>

<file path=customXml/itemProps14.xml><?xml version="1.0" encoding="utf-8"?>
<ds:datastoreItem xmlns:ds="http://schemas.openxmlformats.org/officeDocument/2006/customXml" ds:itemID="{10F1378E-8D08-4F77-BEF3-95D5AC945FA0}">
  <ds:schemaRefs/>
</ds:datastoreItem>
</file>

<file path=customXml/itemProps15.xml><?xml version="1.0" encoding="utf-8"?>
<ds:datastoreItem xmlns:ds="http://schemas.openxmlformats.org/officeDocument/2006/customXml" ds:itemID="{F0F84C10-A9A6-4FF4-853A-395DE806B8F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7</vt:i4>
      </vt:variant>
      <vt:variant>
        <vt:lpstr>Intervalos com nome</vt:lpstr>
      </vt:variant>
      <vt:variant>
        <vt:i4>1</vt:i4>
      </vt:variant>
    </vt:vector>
  </HeadingPairs>
  <TitlesOfParts>
    <vt:vector size="8" baseType="lpstr">
      <vt:lpstr>Dados</vt:lpstr>
      <vt:lpstr>Nivel_Tempo</vt:lpstr>
      <vt:lpstr>Insistências_Nivel</vt:lpstr>
      <vt:lpstr>Pontuacao_Nivel</vt:lpstr>
      <vt:lpstr>Vidas_Nivel</vt:lpstr>
      <vt:lpstr>Bons_Maus</vt:lpstr>
      <vt:lpstr>Insistencias_Grupo</vt:lpstr>
      <vt:lpstr>Dados!DataMultiplayer_1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Gonçalves</dc:creator>
  <cp:lastModifiedBy>Ana Gonçalves</cp:lastModifiedBy>
  <dcterms:created xsi:type="dcterms:W3CDTF">2015-01-12T12:02:21Z</dcterms:created>
  <dcterms:modified xsi:type="dcterms:W3CDTF">2015-01-26T14:21:17Z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4</vt:i4>
  </property>
</Properties>
</file>