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6.xml" ContentType="application/vnd.openxmlformats-officedocument.spreadsheetml.pivotTab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7.xml" ContentType="application/vnd.openxmlformats-officedocument.spreadsheetml.pivotTab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drawings/drawing8.xml" ContentType="application/vnd.openxmlformats-officedocument.drawing+xml"/>
  <Override PartName="/xl/activeX/activeX1.xml" ContentType="application/vnd.ms-office.activeX+xml"/>
  <Override PartName="/xl/pivotTables/pivotTable8.xml" ContentType="application/vnd.openxmlformats-officedocument.spreadsheetml.pivotTable+xml"/>
  <Override PartName="/xl/drawings/drawing9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activeX/activeX2.xml" ContentType="application/vnd.ms-office.activeX+xml"/>
  <Override PartName="/xl/activeX/activeX1.bin" ContentType="application/vnd.ms-office.activeX"/>
  <Override PartName="/xl/activeX/activeX3.xml" ContentType="application/vnd.ms-office.activeX+xml"/>
  <Override PartName="/xl/activeX/activeX2.bin" ContentType="application/vnd.ms-office.activeX"/>
  <Override PartName="/xl/queryTables/queryTable1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ivotTables/pivotTable9.xml" ContentType="application/vnd.openxmlformats-officedocument.spreadsheetml.pivotTable+xml"/>
  <Override PartName="/xl/drawings/drawing11.xml" ContentType="application/vnd.openxmlformats-officedocument.drawing+xml"/>
  <Override PartName="/xl/slicers/slicer1.xml" ContentType="application/vnd.ms-excel.slicer+xml"/>
  <Override PartName="/xl/pivotTables/pivotTable10.xml" ContentType="application/vnd.openxmlformats-officedocument.spreadsheetml.pivotTable+xml"/>
  <Override PartName="/xl/drawings/drawing12.xml" ContentType="application/vnd.openxmlformats-officedocument.drawing+xml"/>
  <Override PartName="/xl/slicers/slicer2.xml" ContentType="application/vnd.ms-excel.slicer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eLivro" refreshAllConnections="1" defaultThemeVersion="153222"/>
  <mc:AlternateContent xmlns:mc="http://schemas.openxmlformats.org/markup-compatibility/2006">
    <mc:Choice Requires="x15">
      <x15ac:absPath xmlns:x15ac="http://schemas.microsoft.com/office/spreadsheetml/2010/11/ac" url="C:\Users\Ana\Desktop\projetoJuncao3e4\projeto grupo3+4 - fase 2\v1\Assets\"/>
    </mc:Choice>
  </mc:AlternateContent>
  <bookViews>
    <workbookView xWindow="0" yWindow="0" windowWidth="23040" windowHeight="9405" tabRatio="753" firstSheet="7" activeTab="9"/>
  </bookViews>
  <sheets>
    <sheet name="Bons_Maus" sheetId="20" r:id="rId1"/>
    <sheet name="Vidas_Nivel" sheetId="28" r:id="rId2"/>
    <sheet name="Insistencias_Idade" sheetId="29" r:id="rId3"/>
    <sheet name="Itens_Sexo" sheetId="31" r:id="rId4"/>
    <sheet name="Itens_Idade" sheetId="32" r:id="rId5"/>
    <sheet name="Pontuacao_Nivel" sheetId="33" r:id="rId6"/>
    <sheet name="Insistencias_Nivel" sheetId="34" r:id="rId7"/>
    <sheet name="Vista Avançada2" sheetId="40" r:id="rId8"/>
    <sheet name="Nivel_Tempo" sheetId="37" r:id="rId9"/>
    <sheet name="Dados" sheetId="1" r:id="rId10"/>
    <sheet name="Folha2" sheetId="36" r:id="rId11"/>
    <sheet name="Folha3" sheetId="42" r:id="rId12"/>
    <sheet name="Folha4" sheetId="43" r:id="rId13"/>
  </sheets>
  <definedNames>
    <definedName name="_xlnm.Print_Area" localSheetId="7">'Vista Avançada2'!$Z$1001:$Z$1002</definedName>
    <definedName name="Data_1" localSheetId="9">Dados!$A$2:$L$73</definedName>
    <definedName name="SegmentaçãoDeDados_jogador">#N/A</definedName>
    <definedName name="SegmentaçãoDeDados_Jogador1">#N/A</definedName>
  </definedNames>
  <calcPr calcId="152511"/>
  <pivotCaches>
    <pivotCache cacheId="0" r:id="rId14"/>
    <pivotCache cacheId="1" r:id="rId15"/>
    <pivotCache cacheId="2" r:id="rId16"/>
    <pivotCache cacheId="3" r:id="rId17"/>
  </pivotCaches>
  <extLst>
    <ext xmlns:x14="http://schemas.microsoft.com/office/spreadsheetml/2009/9/main" uri="{BBE1A952-AA13-448e-AADC-164F8A28A991}">
      <x14:slicerCaches>
        <x14:slicerCache r:id="rId18"/>
        <x14:slicerCache r:id="rId1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67" i="1" l="1"/>
  <c r="M64" i="1"/>
  <c r="M65" i="1"/>
  <c r="M66" i="1"/>
  <c r="M68" i="1"/>
  <c r="M69" i="1"/>
  <c r="M70" i="1"/>
  <c r="M71" i="1"/>
  <c r="M72" i="1"/>
  <c r="M73" i="1"/>
  <c r="M74" i="1"/>
  <c r="M75" i="1"/>
  <c r="M76" i="1"/>
  <c r="M77" i="1"/>
  <c r="M78" i="1" l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61" i="1" l="1"/>
  <c r="M62" i="1"/>
  <c r="M63" i="1"/>
  <c r="M54" i="1"/>
  <c r="M55" i="1"/>
  <c r="M56" i="1"/>
  <c r="M57" i="1"/>
  <c r="M58" i="1"/>
  <c r="M59" i="1"/>
  <c r="M60" i="1"/>
  <c r="M48" i="1"/>
  <c r="M49" i="1"/>
  <c r="M50" i="1"/>
  <c r="M51" i="1"/>
  <c r="M52" i="1"/>
  <c r="M53" i="1"/>
  <c r="M99" i="1" l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37" i="1"/>
  <c r="M38" i="1"/>
  <c r="M39" i="1"/>
  <c r="M40" i="1"/>
  <c r="M41" i="1"/>
  <c r="M42" i="1"/>
  <c r="M43" i="1"/>
  <c r="M44" i="1"/>
  <c r="M45" i="1"/>
  <c r="M46" i="1"/>
  <c r="M47" i="1"/>
  <c r="M3" i="1" l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2" i="1" l="1"/>
</calcChain>
</file>

<file path=xl/connections.xml><?xml version="1.0" encoding="utf-8"?>
<connections xmlns="http://schemas.openxmlformats.org/spreadsheetml/2006/main">
  <connection id="1" name="Data" type="6" refreshedVersion="5" background="1" saveData="1">
    <textPr sourceFile="C:\Users\wrt\Desktop\projetoUnity\Assets\Data.csv" decimal="," thousands=" " tab="0" comma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<sst xmlns="http://schemas.openxmlformats.org/spreadsheetml/2006/main" count="155" uniqueCount="60">
  <si>
    <t>Jogador</t>
  </si>
  <si>
    <t>bons</t>
  </si>
  <si>
    <t>tempo</t>
  </si>
  <si>
    <t>vida</t>
  </si>
  <si>
    <t>nivel</t>
  </si>
  <si>
    <t>pontos</t>
  </si>
  <si>
    <t>insist</t>
  </si>
  <si>
    <t>final</t>
  </si>
  <si>
    <t>vidasGastas</t>
  </si>
  <si>
    <t>Rótulos de Linha</t>
  </si>
  <si>
    <t>Total Geral</t>
  </si>
  <si>
    <t>Soma de vidasGastas</t>
  </si>
  <si>
    <t>Soma de bons</t>
  </si>
  <si>
    <t>Soma de maus</t>
  </si>
  <si>
    <t>Rótulos de Coluna</t>
  </si>
  <si>
    <t>Soma de pontos</t>
  </si>
  <si>
    <t>idd</t>
  </si>
  <si>
    <t>sexo</t>
  </si>
  <si>
    <t>escolaridade</t>
  </si>
  <si>
    <t>maus</t>
  </si>
  <si>
    <t>1/15/2015 11:48:49 AM</t>
  </si>
  <si>
    <t xml:space="preserve"> Masculino</t>
  </si>
  <si>
    <t>1/17/2015 11:48:49 AM</t>
  </si>
  <si>
    <t>1/18/2015 11:48:49 AM</t>
  </si>
  <si>
    <t>1/16/2015 10:06:08 AM</t>
  </si>
  <si>
    <t>1/16/2015 10:13:34 AM</t>
  </si>
  <si>
    <t xml:space="preserve"> Feminino</t>
  </si>
  <si>
    <t>1/16/2015 10:34:34 AM</t>
  </si>
  <si>
    <t>Média</t>
  </si>
  <si>
    <t>1/19/2015 11:48:49 AM</t>
  </si>
  <si>
    <t>Soma de insist</t>
  </si>
  <si>
    <t>1/20/2015 11:48:49 AM</t>
  </si>
  <si>
    <t>1/16/2015 1:34:32 PM</t>
  </si>
  <si>
    <t>Soma de nivel0</t>
  </si>
  <si>
    <t xml:space="preserve"> tempo</t>
  </si>
  <si>
    <t>Nivel</t>
  </si>
  <si>
    <t>O Power View só pode imprimir uma folha de cada vez.</t>
  </si>
  <si>
    <t>Mude para a folha pretendida e tente novamente.</t>
  </si>
  <si>
    <t>j1</t>
  </si>
  <si>
    <t>j2</t>
  </si>
  <si>
    <t>j3</t>
  </si>
  <si>
    <t>j4</t>
  </si>
  <si>
    <t>j5</t>
  </si>
  <si>
    <t>j6</t>
  </si>
  <si>
    <t>j7</t>
  </si>
  <si>
    <t>j8</t>
  </si>
  <si>
    <t>j9</t>
  </si>
  <si>
    <t>j10</t>
  </si>
  <si>
    <t>j11</t>
  </si>
  <si>
    <t>N1</t>
  </si>
  <si>
    <t>N2</t>
  </si>
  <si>
    <t>N3</t>
  </si>
  <si>
    <t>N4</t>
  </si>
  <si>
    <t>N5</t>
  </si>
  <si>
    <t>N6</t>
  </si>
  <si>
    <t>(Tudo)</t>
  </si>
  <si>
    <t>Soma de N4</t>
  </si>
  <si>
    <t>Soma de N5</t>
  </si>
  <si>
    <t>Soma de N6</t>
  </si>
  <si>
    <t>Valores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</si>
</sst>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horizontal="right"/>
    </xf>
    <xf numFmtId="22" fontId="0" fillId="0" borderId="0" xfId="0" applyNumberForma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22" fontId="0" fillId="0" borderId="0" xfId="0" applyNumberFormat="1" applyAlignment="1">
      <alignment horizontal="left"/>
    </xf>
    <xf numFmtId="0" fontId="0" fillId="0" borderId="0" xfId="0" applyAlignment="1">
      <alignment horizontal="left" indent="1"/>
    </xf>
    <xf numFmtId="22" fontId="0" fillId="0" borderId="0" xfId="0" applyNumberFormat="1" applyAlignment="1">
      <alignment horizontal="left" indent="1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7/relationships/slicerCache" Target="slicerCaches/slicerCache1.xml"/><Relationship Id="rId26" Type="http://schemas.openxmlformats.org/officeDocument/2006/relationships/customXml" Target="../customXml/item2.xml"/><Relationship Id="rId39" Type="http://schemas.openxmlformats.org/officeDocument/2006/relationships/customXml" Target="../customXml/item15.xml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34" Type="http://schemas.openxmlformats.org/officeDocument/2006/relationships/customXml" Target="../customXml/item10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4.xml"/><Relationship Id="rId25" Type="http://schemas.openxmlformats.org/officeDocument/2006/relationships/customXml" Target="../customXml/item1.xml"/><Relationship Id="rId33" Type="http://schemas.openxmlformats.org/officeDocument/2006/relationships/customXml" Target="../customXml/item9.xml"/><Relationship Id="rId38" Type="http://schemas.openxmlformats.org/officeDocument/2006/relationships/customXml" Target="../customXml/item14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3.xml"/><Relationship Id="rId20" Type="http://schemas.openxmlformats.org/officeDocument/2006/relationships/theme" Target="theme/theme1.xml"/><Relationship Id="rId29" Type="http://schemas.openxmlformats.org/officeDocument/2006/relationships/customXml" Target="../customXml/item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32" Type="http://schemas.openxmlformats.org/officeDocument/2006/relationships/customXml" Target="../customXml/item8.xml"/><Relationship Id="rId37" Type="http://schemas.openxmlformats.org/officeDocument/2006/relationships/customXml" Target="../customXml/item13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2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4.xml"/><Relationship Id="rId36" Type="http://schemas.openxmlformats.org/officeDocument/2006/relationships/customXml" Target="../customXml/item12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2.xml"/><Relationship Id="rId31" Type="http://schemas.openxmlformats.org/officeDocument/2006/relationships/customXml" Target="../customXml/item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Relationship Id="rId22" Type="http://schemas.openxmlformats.org/officeDocument/2006/relationships/styles" Target="styles.xml"/><Relationship Id="rId27" Type="http://schemas.openxmlformats.org/officeDocument/2006/relationships/customXml" Target="../customXml/item3.xml"/><Relationship Id="rId30" Type="http://schemas.openxmlformats.org/officeDocument/2006/relationships/customXml" Target="../customXml/item6.xml"/><Relationship Id="rId35" Type="http://schemas.openxmlformats.org/officeDocument/2006/relationships/customXml" Target="../customXml/item11.xml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FE70AD91-ECA9-4DED-9DD9-10867A0106B4}" ax:persistence="persistPropertyBag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[exelFinalMacroFINAL11.xltm]Bons_Maus!Tabela dinâmica1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 sz="1800" b="0" i="0" baseline="0">
                <a:effectLst/>
              </a:rPr>
              <a:t>Itens Bons/Maus por Nível</a:t>
            </a:r>
            <a:endParaRPr lang="pt-PT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5.4579390819346096E-2"/>
          <c:y val="0.16159109881683664"/>
          <c:w val="0.84282406455128078"/>
          <c:h val="0.5985543695774513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Bons_Maus!$B$1</c:f>
              <c:strCache>
                <c:ptCount val="1"/>
                <c:pt idx="0">
                  <c:v>Soma de maus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Bons_Maus!$A$2:$A$86</c:f>
              <c:multiLvlStrCache>
                <c:ptCount val="72"/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0</c:v>
                  </c:pt>
                  <c:pt idx="7">
                    <c:v>1</c:v>
                  </c:pt>
                  <c:pt idx="8">
                    <c:v>2</c:v>
                  </c:pt>
                  <c:pt idx="9">
                    <c:v>3</c:v>
                  </c:pt>
                  <c:pt idx="10">
                    <c:v>4</c:v>
                  </c:pt>
                  <c:pt idx="11">
                    <c:v>5</c:v>
                  </c:pt>
                  <c:pt idx="12">
                    <c:v>0</c:v>
                  </c:pt>
                  <c:pt idx="13">
                    <c:v>1</c:v>
                  </c:pt>
                  <c:pt idx="14">
                    <c:v>2</c:v>
                  </c:pt>
                  <c:pt idx="15">
                    <c:v>3</c:v>
                  </c:pt>
                  <c:pt idx="16">
                    <c:v>4</c:v>
                  </c:pt>
                  <c:pt idx="17">
                    <c:v>5</c:v>
                  </c:pt>
                  <c:pt idx="18">
                    <c:v>0</c:v>
                  </c:pt>
                  <c:pt idx="19">
                    <c:v>1</c:v>
                  </c:pt>
                  <c:pt idx="20">
                    <c:v>2</c:v>
                  </c:pt>
                  <c:pt idx="21">
                    <c:v>3</c:v>
                  </c:pt>
                  <c:pt idx="22">
                    <c:v>4</c:v>
                  </c:pt>
                  <c:pt idx="23">
                    <c:v>5</c:v>
                  </c:pt>
                  <c:pt idx="24">
                    <c:v>0</c:v>
                  </c:pt>
                  <c:pt idx="25">
                    <c:v>1</c:v>
                  </c:pt>
                  <c:pt idx="26">
                    <c:v>2</c:v>
                  </c:pt>
                  <c:pt idx="27">
                    <c:v>3</c:v>
                  </c:pt>
                  <c:pt idx="28">
                    <c:v>4</c:v>
                  </c:pt>
                  <c:pt idx="29">
                    <c:v>5</c:v>
                  </c:pt>
                  <c:pt idx="30">
                    <c:v>0</c:v>
                  </c:pt>
                  <c:pt idx="31">
                    <c:v>1</c:v>
                  </c:pt>
                  <c:pt idx="32">
                    <c:v>2</c:v>
                  </c:pt>
                  <c:pt idx="33">
                    <c:v>3</c:v>
                  </c:pt>
                  <c:pt idx="34">
                    <c:v>4</c:v>
                  </c:pt>
                  <c:pt idx="35">
                    <c:v>5</c:v>
                  </c:pt>
                  <c:pt idx="36">
                    <c:v>0</c:v>
                  </c:pt>
                  <c:pt idx="37">
                    <c:v>1</c:v>
                  </c:pt>
                  <c:pt idx="38">
                    <c:v>2</c:v>
                  </c:pt>
                  <c:pt idx="39">
                    <c:v>3</c:v>
                  </c:pt>
                  <c:pt idx="40">
                    <c:v>4</c:v>
                  </c:pt>
                  <c:pt idx="41">
                    <c:v>5</c:v>
                  </c:pt>
                  <c:pt idx="42">
                    <c:v>0</c:v>
                  </c:pt>
                  <c:pt idx="43">
                    <c:v>1</c:v>
                  </c:pt>
                  <c:pt idx="44">
                    <c:v>2</c:v>
                  </c:pt>
                  <c:pt idx="45">
                    <c:v>3</c:v>
                  </c:pt>
                  <c:pt idx="46">
                    <c:v>4</c:v>
                  </c:pt>
                  <c:pt idx="47">
                    <c:v>5</c:v>
                  </c:pt>
                  <c:pt idx="48">
                    <c:v>0</c:v>
                  </c:pt>
                  <c:pt idx="49">
                    <c:v>1</c:v>
                  </c:pt>
                  <c:pt idx="50">
                    <c:v>2</c:v>
                  </c:pt>
                  <c:pt idx="51">
                    <c:v>3</c:v>
                  </c:pt>
                  <c:pt idx="52">
                    <c:v>4</c:v>
                  </c:pt>
                  <c:pt idx="53">
                    <c:v>5</c:v>
                  </c:pt>
                  <c:pt idx="54">
                    <c:v>0</c:v>
                  </c:pt>
                  <c:pt idx="55">
                    <c:v>1</c:v>
                  </c:pt>
                  <c:pt idx="56">
                    <c:v>2</c:v>
                  </c:pt>
                  <c:pt idx="57">
                    <c:v>3</c:v>
                  </c:pt>
                  <c:pt idx="58">
                    <c:v>4</c:v>
                  </c:pt>
                  <c:pt idx="59">
                    <c:v>5</c:v>
                  </c:pt>
                  <c:pt idx="60">
                    <c:v>0</c:v>
                  </c:pt>
                  <c:pt idx="61">
                    <c:v>1</c:v>
                  </c:pt>
                  <c:pt idx="62">
                    <c:v>2</c:v>
                  </c:pt>
                  <c:pt idx="63">
                    <c:v>3</c:v>
                  </c:pt>
                  <c:pt idx="64">
                    <c:v>4</c:v>
                  </c:pt>
                  <c:pt idx="65">
                    <c:v>5</c:v>
                  </c:pt>
                  <c:pt idx="66">
                    <c:v>0</c:v>
                  </c:pt>
                  <c:pt idx="67">
                    <c:v>1</c:v>
                  </c:pt>
                  <c:pt idx="68">
                    <c:v>2</c:v>
                  </c:pt>
                  <c:pt idx="69">
                    <c:v>3</c:v>
                  </c:pt>
                  <c:pt idx="70">
                    <c:v>4</c:v>
                  </c:pt>
                  <c:pt idx="71">
                    <c:v>5</c:v>
                  </c:pt>
                </c:lvl>
                <c:lvl>
                  <c:pt idx="0">
                    <c:v>1/15/2015 11:48:49 AM</c:v>
                  </c:pt>
                  <c:pt idx="6">
                    <c:v>1/16/2015 10:06:08 AM</c:v>
                  </c:pt>
                  <c:pt idx="12">
                    <c:v>1/16/2015 10:13:34 AM</c:v>
                  </c:pt>
                  <c:pt idx="18">
                    <c:v>1/16/2015 10:34:34 AM</c:v>
                  </c:pt>
                  <c:pt idx="24">
                    <c:v>1/17/2015 11:48:49 AM</c:v>
                  </c:pt>
                  <c:pt idx="30">
                    <c:v>1/18/2015 11:48:49 AM</c:v>
                  </c:pt>
                  <c:pt idx="36">
                    <c:v>1/19/2015 11:48:49 AM</c:v>
                  </c:pt>
                  <c:pt idx="42">
                    <c:v>01/10/2015 11:48</c:v>
                  </c:pt>
                  <c:pt idx="48">
                    <c:v>1/20/2015 11:48:49 AM</c:v>
                  </c:pt>
                  <c:pt idx="54">
                    <c:v>01/11/2015 11:48</c:v>
                  </c:pt>
                  <c:pt idx="60">
                    <c:v>01/03/2015 11:48</c:v>
                  </c:pt>
                  <c:pt idx="66">
                    <c:v>1/16/2015 1:34:32 PM</c:v>
                  </c:pt>
                </c:lvl>
              </c:multiLvlStrCache>
            </c:multiLvlStrRef>
          </c:cat>
          <c:val>
            <c:numRef>
              <c:f>Bons_Maus!$B$2:$B$86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</c:v>
                </c:pt>
                <c:pt idx="16">
                  <c:v>3</c:v>
                </c:pt>
                <c:pt idx="17">
                  <c:v>3</c:v>
                </c:pt>
                <c:pt idx="18">
                  <c:v>2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0</c:v>
                </c:pt>
                <c:pt idx="25">
                  <c:v>1</c:v>
                </c:pt>
                <c:pt idx="26">
                  <c:v>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1</c:v>
                </c:pt>
                <c:pt idx="38">
                  <c:v>1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1</c:v>
                </c:pt>
                <c:pt idx="44">
                  <c:v>1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1</c:v>
                </c:pt>
                <c:pt idx="50">
                  <c:v>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1</c:v>
                </c:pt>
                <c:pt idx="56">
                  <c:v>1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1</c:v>
                </c:pt>
                <c:pt idx="62">
                  <c:v>1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4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</c:numCache>
            </c:numRef>
          </c:val>
        </c:ser>
        <c:ser>
          <c:idx val="1"/>
          <c:order val="1"/>
          <c:tx>
            <c:strRef>
              <c:f>Bons_Maus!$C$1</c:f>
              <c:strCache>
                <c:ptCount val="1"/>
                <c:pt idx="0">
                  <c:v>Soma de bons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Bons_Maus!$A$2:$A$86</c:f>
              <c:multiLvlStrCache>
                <c:ptCount val="72"/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0</c:v>
                  </c:pt>
                  <c:pt idx="7">
                    <c:v>1</c:v>
                  </c:pt>
                  <c:pt idx="8">
                    <c:v>2</c:v>
                  </c:pt>
                  <c:pt idx="9">
                    <c:v>3</c:v>
                  </c:pt>
                  <c:pt idx="10">
                    <c:v>4</c:v>
                  </c:pt>
                  <c:pt idx="11">
                    <c:v>5</c:v>
                  </c:pt>
                  <c:pt idx="12">
                    <c:v>0</c:v>
                  </c:pt>
                  <c:pt idx="13">
                    <c:v>1</c:v>
                  </c:pt>
                  <c:pt idx="14">
                    <c:v>2</c:v>
                  </c:pt>
                  <c:pt idx="15">
                    <c:v>3</c:v>
                  </c:pt>
                  <c:pt idx="16">
                    <c:v>4</c:v>
                  </c:pt>
                  <c:pt idx="17">
                    <c:v>5</c:v>
                  </c:pt>
                  <c:pt idx="18">
                    <c:v>0</c:v>
                  </c:pt>
                  <c:pt idx="19">
                    <c:v>1</c:v>
                  </c:pt>
                  <c:pt idx="20">
                    <c:v>2</c:v>
                  </c:pt>
                  <c:pt idx="21">
                    <c:v>3</c:v>
                  </c:pt>
                  <c:pt idx="22">
                    <c:v>4</c:v>
                  </c:pt>
                  <c:pt idx="23">
                    <c:v>5</c:v>
                  </c:pt>
                  <c:pt idx="24">
                    <c:v>0</c:v>
                  </c:pt>
                  <c:pt idx="25">
                    <c:v>1</c:v>
                  </c:pt>
                  <c:pt idx="26">
                    <c:v>2</c:v>
                  </c:pt>
                  <c:pt idx="27">
                    <c:v>3</c:v>
                  </c:pt>
                  <c:pt idx="28">
                    <c:v>4</c:v>
                  </c:pt>
                  <c:pt idx="29">
                    <c:v>5</c:v>
                  </c:pt>
                  <c:pt idx="30">
                    <c:v>0</c:v>
                  </c:pt>
                  <c:pt idx="31">
                    <c:v>1</c:v>
                  </c:pt>
                  <c:pt idx="32">
                    <c:v>2</c:v>
                  </c:pt>
                  <c:pt idx="33">
                    <c:v>3</c:v>
                  </c:pt>
                  <c:pt idx="34">
                    <c:v>4</c:v>
                  </c:pt>
                  <c:pt idx="35">
                    <c:v>5</c:v>
                  </c:pt>
                  <c:pt idx="36">
                    <c:v>0</c:v>
                  </c:pt>
                  <c:pt idx="37">
                    <c:v>1</c:v>
                  </c:pt>
                  <c:pt idx="38">
                    <c:v>2</c:v>
                  </c:pt>
                  <c:pt idx="39">
                    <c:v>3</c:v>
                  </c:pt>
                  <c:pt idx="40">
                    <c:v>4</c:v>
                  </c:pt>
                  <c:pt idx="41">
                    <c:v>5</c:v>
                  </c:pt>
                  <c:pt idx="42">
                    <c:v>0</c:v>
                  </c:pt>
                  <c:pt idx="43">
                    <c:v>1</c:v>
                  </c:pt>
                  <c:pt idx="44">
                    <c:v>2</c:v>
                  </c:pt>
                  <c:pt idx="45">
                    <c:v>3</c:v>
                  </c:pt>
                  <c:pt idx="46">
                    <c:v>4</c:v>
                  </c:pt>
                  <c:pt idx="47">
                    <c:v>5</c:v>
                  </c:pt>
                  <c:pt idx="48">
                    <c:v>0</c:v>
                  </c:pt>
                  <c:pt idx="49">
                    <c:v>1</c:v>
                  </c:pt>
                  <c:pt idx="50">
                    <c:v>2</c:v>
                  </c:pt>
                  <c:pt idx="51">
                    <c:v>3</c:v>
                  </c:pt>
                  <c:pt idx="52">
                    <c:v>4</c:v>
                  </c:pt>
                  <c:pt idx="53">
                    <c:v>5</c:v>
                  </c:pt>
                  <c:pt idx="54">
                    <c:v>0</c:v>
                  </c:pt>
                  <c:pt idx="55">
                    <c:v>1</c:v>
                  </c:pt>
                  <c:pt idx="56">
                    <c:v>2</c:v>
                  </c:pt>
                  <c:pt idx="57">
                    <c:v>3</c:v>
                  </c:pt>
                  <c:pt idx="58">
                    <c:v>4</c:v>
                  </c:pt>
                  <c:pt idx="59">
                    <c:v>5</c:v>
                  </c:pt>
                  <c:pt idx="60">
                    <c:v>0</c:v>
                  </c:pt>
                  <c:pt idx="61">
                    <c:v>1</c:v>
                  </c:pt>
                  <c:pt idx="62">
                    <c:v>2</c:v>
                  </c:pt>
                  <c:pt idx="63">
                    <c:v>3</c:v>
                  </c:pt>
                  <c:pt idx="64">
                    <c:v>4</c:v>
                  </c:pt>
                  <c:pt idx="65">
                    <c:v>5</c:v>
                  </c:pt>
                  <c:pt idx="66">
                    <c:v>0</c:v>
                  </c:pt>
                  <c:pt idx="67">
                    <c:v>1</c:v>
                  </c:pt>
                  <c:pt idx="68">
                    <c:v>2</c:v>
                  </c:pt>
                  <c:pt idx="69">
                    <c:v>3</c:v>
                  </c:pt>
                  <c:pt idx="70">
                    <c:v>4</c:v>
                  </c:pt>
                  <c:pt idx="71">
                    <c:v>5</c:v>
                  </c:pt>
                </c:lvl>
                <c:lvl>
                  <c:pt idx="0">
                    <c:v>1/15/2015 11:48:49 AM</c:v>
                  </c:pt>
                  <c:pt idx="6">
                    <c:v>1/16/2015 10:06:08 AM</c:v>
                  </c:pt>
                  <c:pt idx="12">
                    <c:v>1/16/2015 10:13:34 AM</c:v>
                  </c:pt>
                  <c:pt idx="18">
                    <c:v>1/16/2015 10:34:34 AM</c:v>
                  </c:pt>
                  <c:pt idx="24">
                    <c:v>1/17/2015 11:48:49 AM</c:v>
                  </c:pt>
                  <c:pt idx="30">
                    <c:v>1/18/2015 11:48:49 AM</c:v>
                  </c:pt>
                  <c:pt idx="36">
                    <c:v>1/19/2015 11:48:49 AM</c:v>
                  </c:pt>
                  <c:pt idx="42">
                    <c:v>01/10/2015 11:48</c:v>
                  </c:pt>
                  <c:pt idx="48">
                    <c:v>1/20/2015 11:48:49 AM</c:v>
                  </c:pt>
                  <c:pt idx="54">
                    <c:v>01/11/2015 11:48</c:v>
                  </c:pt>
                  <c:pt idx="60">
                    <c:v>01/03/2015 11:48</c:v>
                  </c:pt>
                  <c:pt idx="66">
                    <c:v>1/16/2015 1:34:32 PM</c:v>
                  </c:pt>
                </c:lvl>
              </c:multiLvlStrCache>
            </c:multiLvlStrRef>
          </c:cat>
          <c:val>
            <c:numRef>
              <c:f>Bons_Maus!$C$2:$C$86</c:f>
              <c:numCache>
                <c:formatCode>General</c:formatCode>
                <c:ptCount val="72"/>
                <c:pt idx="0">
                  <c:v>3</c:v>
                </c:pt>
                <c:pt idx="1">
                  <c:v>3</c:v>
                </c:pt>
                <c:pt idx="2">
                  <c:v>6</c:v>
                </c:pt>
                <c:pt idx="3">
                  <c:v>9</c:v>
                </c:pt>
                <c:pt idx="4">
                  <c:v>12</c:v>
                </c:pt>
                <c:pt idx="5">
                  <c:v>15</c:v>
                </c:pt>
                <c:pt idx="6">
                  <c:v>3</c:v>
                </c:pt>
                <c:pt idx="7">
                  <c:v>3</c:v>
                </c:pt>
                <c:pt idx="8">
                  <c:v>6</c:v>
                </c:pt>
                <c:pt idx="9">
                  <c:v>9</c:v>
                </c:pt>
                <c:pt idx="10">
                  <c:v>12</c:v>
                </c:pt>
                <c:pt idx="11">
                  <c:v>15</c:v>
                </c:pt>
                <c:pt idx="12">
                  <c:v>3</c:v>
                </c:pt>
                <c:pt idx="13">
                  <c:v>3</c:v>
                </c:pt>
                <c:pt idx="14">
                  <c:v>6</c:v>
                </c:pt>
                <c:pt idx="15">
                  <c:v>9</c:v>
                </c:pt>
                <c:pt idx="16">
                  <c:v>12</c:v>
                </c:pt>
                <c:pt idx="17">
                  <c:v>15</c:v>
                </c:pt>
                <c:pt idx="18">
                  <c:v>3</c:v>
                </c:pt>
                <c:pt idx="19">
                  <c:v>3</c:v>
                </c:pt>
                <c:pt idx="20">
                  <c:v>6</c:v>
                </c:pt>
                <c:pt idx="21">
                  <c:v>9</c:v>
                </c:pt>
                <c:pt idx="22">
                  <c:v>12</c:v>
                </c:pt>
                <c:pt idx="23">
                  <c:v>15</c:v>
                </c:pt>
                <c:pt idx="24">
                  <c:v>3</c:v>
                </c:pt>
                <c:pt idx="25">
                  <c:v>3</c:v>
                </c:pt>
                <c:pt idx="26">
                  <c:v>6</c:v>
                </c:pt>
                <c:pt idx="27">
                  <c:v>9</c:v>
                </c:pt>
                <c:pt idx="28">
                  <c:v>12</c:v>
                </c:pt>
                <c:pt idx="29">
                  <c:v>15</c:v>
                </c:pt>
                <c:pt idx="30">
                  <c:v>3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3</c:v>
                </c:pt>
                <c:pt idx="37">
                  <c:v>3</c:v>
                </c:pt>
                <c:pt idx="38">
                  <c:v>6</c:v>
                </c:pt>
                <c:pt idx="39">
                  <c:v>9</c:v>
                </c:pt>
                <c:pt idx="40">
                  <c:v>12</c:v>
                </c:pt>
                <c:pt idx="41">
                  <c:v>15</c:v>
                </c:pt>
                <c:pt idx="42">
                  <c:v>3</c:v>
                </c:pt>
                <c:pt idx="43">
                  <c:v>3</c:v>
                </c:pt>
                <c:pt idx="44">
                  <c:v>6</c:v>
                </c:pt>
                <c:pt idx="45">
                  <c:v>9</c:v>
                </c:pt>
                <c:pt idx="46">
                  <c:v>12</c:v>
                </c:pt>
                <c:pt idx="47">
                  <c:v>15</c:v>
                </c:pt>
                <c:pt idx="48">
                  <c:v>3</c:v>
                </c:pt>
                <c:pt idx="49">
                  <c:v>3</c:v>
                </c:pt>
                <c:pt idx="50">
                  <c:v>6</c:v>
                </c:pt>
                <c:pt idx="51">
                  <c:v>9</c:v>
                </c:pt>
                <c:pt idx="52">
                  <c:v>12</c:v>
                </c:pt>
                <c:pt idx="53">
                  <c:v>15</c:v>
                </c:pt>
                <c:pt idx="54">
                  <c:v>3</c:v>
                </c:pt>
                <c:pt idx="55">
                  <c:v>3</c:v>
                </c:pt>
                <c:pt idx="56">
                  <c:v>6</c:v>
                </c:pt>
                <c:pt idx="57">
                  <c:v>9</c:v>
                </c:pt>
                <c:pt idx="58">
                  <c:v>12</c:v>
                </c:pt>
                <c:pt idx="59">
                  <c:v>15</c:v>
                </c:pt>
                <c:pt idx="60">
                  <c:v>3</c:v>
                </c:pt>
                <c:pt idx="61">
                  <c:v>3</c:v>
                </c:pt>
                <c:pt idx="62">
                  <c:v>6</c:v>
                </c:pt>
                <c:pt idx="63">
                  <c:v>9</c:v>
                </c:pt>
                <c:pt idx="64">
                  <c:v>12</c:v>
                </c:pt>
                <c:pt idx="65">
                  <c:v>15</c:v>
                </c:pt>
                <c:pt idx="66">
                  <c:v>3</c:v>
                </c:pt>
                <c:pt idx="67">
                  <c:v>3</c:v>
                </c:pt>
                <c:pt idx="68">
                  <c:v>6</c:v>
                </c:pt>
                <c:pt idx="69">
                  <c:v>9</c:v>
                </c:pt>
                <c:pt idx="70">
                  <c:v>12</c:v>
                </c:pt>
                <c:pt idx="71">
                  <c:v>15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9143328"/>
        <c:axId val="299139016"/>
      </c:barChart>
      <c:catAx>
        <c:axId val="2991433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Nível/Jogador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299139016"/>
        <c:crosses val="autoZero"/>
        <c:auto val="1"/>
        <c:lblAlgn val="ctr"/>
        <c:lblOffset val="100"/>
        <c:noMultiLvlLbl val="0"/>
      </c:catAx>
      <c:valAx>
        <c:axId val="299139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Itens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299143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[exelFinalMacroFINAL11.xltm]Vidas_Nivel!Tabela dinâmica8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Vidas Gastas Por Jogador a Cada Nível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Vidas_Nivel!$B$1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Vidas_Nivel!$A$2:$A$80</c:f>
              <c:multiLvlStrCache>
                <c:ptCount val="72"/>
                <c:lvl>
                  <c:pt idx="0">
                    <c:v>1/15/2015 11:48:49 AM</c:v>
                  </c:pt>
                  <c:pt idx="1">
                    <c:v>1/16/2015 10:06:08 AM</c:v>
                  </c:pt>
                  <c:pt idx="2">
                    <c:v>1/16/2015 10:13:34 AM</c:v>
                  </c:pt>
                  <c:pt idx="3">
                    <c:v>1/16/2015 10:34:34 AM</c:v>
                  </c:pt>
                  <c:pt idx="4">
                    <c:v>1/17/2015 11:48:49 AM</c:v>
                  </c:pt>
                  <c:pt idx="5">
                    <c:v>1/18/2015 11:48:49 AM</c:v>
                  </c:pt>
                  <c:pt idx="6">
                    <c:v>1/19/2015 11:48:49 AM</c:v>
                  </c:pt>
                  <c:pt idx="7">
                    <c:v>1/20/2015 11:48:49 AM</c:v>
                  </c:pt>
                  <c:pt idx="8">
                    <c:v>01/10/2015 11:48</c:v>
                  </c:pt>
                  <c:pt idx="9">
                    <c:v>01/11/2015 11:48</c:v>
                  </c:pt>
                  <c:pt idx="10">
                    <c:v>01/03/2015 11:48</c:v>
                  </c:pt>
                  <c:pt idx="11">
                    <c:v>1/16/2015 1:34:32 PM</c:v>
                  </c:pt>
                  <c:pt idx="12">
                    <c:v>1/15/2015 11:48:49 AM</c:v>
                  </c:pt>
                  <c:pt idx="13">
                    <c:v>1/16/2015 10:06:08 AM</c:v>
                  </c:pt>
                  <c:pt idx="14">
                    <c:v>1/16/2015 10:13:34 AM</c:v>
                  </c:pt>
                  <c:pt idx="15">
                    <c:v>1/16/2015 10:34:34 AM</c:v>
                  </c:pt>
                  <c:pt idx="16">
                    <c:v>1/17/2015 11:48:49 AM</c:v>
                  </c:pt>
                  <c:pt idx="17">
                    <c:v>1/18/2015 11:48:49 AM</c:v>
                  </c:pt>
                  <c:pt idx="18">
                    <c:v>1/19/2015 11:48:49 AM</c:v>
                  </c:pt>
                  <c:pt idx="19">
                    <c:v>1/20/2015 11:48:49 AM</c:v>
                  </c:pt>
                  <c:pt idx="20">
                    <c:v>01/10/2015 11:48</c:v>
                  </c:pt>
                  <c:pt idx="21">
                    <c:v>01/11/2015 11:48</c:v>
                  </c:pt>
                  <c:pt idx="22">
                    <c:v>01/03/2015 11:48</c:v>
                  </c:pt>
                  <c:pt idx="23">
                    <c:v>1/16/2015 1:34:32 PM</c:v>
                  </c:pt>
                  <c:pt idx="24">
                    <c:v>1/15/2015 11:48:49 AM</c:v>
                  </c:pt>
                  <c:pt idx="25">
                    <c:v>1/16/2015 10:06:08 AM</c:v>
                  </c:pt>
                  <c:pt idx="26">
                    <c:v>1/16/2015 10:13:34 AM</c:v>
                  </c:pt>
                  <c:pt idx="27">
                    <c:v>1/16/2015 10:34:34 AM</c:v>
                  </c:pt>
                  <c:pt idx="28">
                    <c:v>1/17/2015 11:48:49 AM</c:v>
                  </c:pt>
                  <c:pt idx="29">
                    <c:v>1/18/2015 11:48:49 AM</c:v>
                  </c:pt>
                  <c:pt idx="30">
                    <c:v>1/19/2015 11:48:49 AM</c:v>
                  </c:pt>
                  <c:pt idx="31">
                    <c:v>1/20/2015 11:48:49 AM</c:v>
                  </c:pt>
                  <c:pt idx="32">
                    <c:v>01/10/2015 11:48</c:v>
                  </c:pt>
                  <c:pt idx="33">
                    <c:v>01/11/2015 11:48</c:v>
                  </c:pt>
                  <c:pt idx="34">
                    <c:v>01/03/2015 11:48</c:v>
                  </c:pt>
                  <c:pt idx="35">
                    <c:v>1/16/2015 1:34:32 PM</c:v>
                  </c:pt>
                  <c:pt idx="36">
                    <c:v>1/15/2015 11:48:49 AM</c:v>
                  </c:pt>
                  <c:pt idx="37">
                    <c:v>1/16/2015 10:06:08 AM</c:v>
                  </c:pt>
                  <c:pt idx="38">
                    <c:v>1/16/2015 10:13:34 AM</c:v>
                  </c:pt>
                  <c:pt idx="39">
                    <c:v>1/16/2015 10:34:34 AM</c:v>
                  </c:pt>
                  <c:pt idx="40">
                    <c:v>1/17/2015 11:48:49 AM</c:v>
                  </c:pt>
                  <c:pt idx="41">
                    <c:v>1/18/2015 11:48:49 AM</c:v>
                  </c:pt>
                  <c:pt idx="42">
                    <c:v>1/19/2015 11:48:49 AM</c:v>
                  </c:pt>
                  <c:pt idx="43">
                    <c:v>1/20/2015 11:48:49 AM</c:v>
                  </c:pt>
                  <c:pt idx="44">
                    <c:v>01/10/2015 11:48</c:v>
                  </c:pt>
                  <c:pt idx="45">
                    <c:v>01/11/2015 11:48</c:v>
                  </c:pt>
                  <c:pt idx="46">
                    <c:v>01/03/2015 11:48</c:v>
                  </c:pt>
                  <c:pt idx="47">
                    <c:v>1/16/2015 1:34:32 PM</c:v>
                  </c:pt>
                  <c:pt idx="48">
                    <c:v>1/15/2015 11:48:49 AM</c:v>
                  </c:pt>
                  <c:pt idx="49">
                    <c:v>1/16/2015 10:06:08 AM</c:v>
                  </c:pt>
                  <c:pt idx="50">
                    <c:v>1/16/2015 10:13:34 AM</c:v>
                  </c:pt>
                  <c:pt idx="51">
                    <c:v>1/16/2015 10:34:34 AM</c:v>
                  </c:pt>
                  <c:pt idx="52">
                    <c:v>1/17/2015 11:48:49 AM</c:v>
                  </c:pt>
                  <c:pt idx="53">
                    <c:v>1/18/2015 11:48:49 AM</c:v>
                  </c:pt>
                  <c:pt idx="54">
                    <c:v>1/19/2015 11:48:49 AM</c:v>
                  </c:pt>
                  <c:pt idx="55">
                    <c:v>1/20/2015 11:48:49 AM</c:v>
                  </c:pt>
                  <c:pt idx="56">
                    <c:v>01/10/2015 11:48</c:v>
                  </c:pt>
                  <c:pt idx="57">
                    <c:v>01/11/2015 11:48</c:v>
                  </c:pt>
                  <c:pt idx="58">
                    <c:v>01/03/2015 11:48</c:v>
                  </c:pt>
                  <c:pt idx="59">
                    <c:v>1/16/2015 1:34:32 PM</c:v>
                  </c:pt>
                  <c:pt idx="60">
                    <c:v>1/15/2015 11:48:49 AM</c:v>
                  </c:pt>
                  <c:pt idx="61">
                    <c:v>1/16/2015 10:06:08 AM</c:v>
                  </c:pt>
                  <c:pt idx="62">
                    <c:v>1/16/2015 10:13:34 AM</c:v>
                  </c:pt>
                  <c:pt idx="63">
                    <c:v>1/16/2015 10:34:34 AM</c:v>
                  </c:pt>
                  <c:pt idx="64">
                    <c:v>1/17/2015 11:48:49 AM</c:v>
                  </c:pt>
                  <c:pt idx="65">
                    <c:v>1/18/2015 11:48:49 AM</c:v>
                  </c:pt>
                  <c:pt idx="66">
                    <c:v>1/19/2015 11:48:49 AM</c:v>
                  </c:pt>
                  <c:pt idx="67">
                    <c:v>1/20/2015 11:48:49 AM</c:v>
                  </c:pt>
                  <c:pt idx="68">
                    <c:v>01/10/2015 11:48</c:v>
                  </c:pt>
                  <c:pt idx="69">
                    <c:v>01/11/2015 11:48</c:v>
                  </c:pt>
                  <c:pt idx="70">
                    <c:v>01/03/2015 11:48</c:v>
                  </c:pt>
                  <c:pt idx="71">
                    <c:v>1/16/2015 1:34:32 PM</c:v>
                  </c:pt>
                </c:lvl>
                <c:lvl>
                  <c:pt idx="0">
                    <c:v>0</c:v>
                  </c:pt>
                  <c:pt idx="12">
                    <c:v>1</c:v>
                  </c:pt>
                  <c:pt idx="24">
                    <c:v>2</c:v>
                  </c:pt>
                  <c:pt idx="36">
                    <c:v>3</c:v>
                  </c:pt>
                  <c:pt idx="48">
                    <c:v>4</c:v>
                  </c:pt>
                  <c:pt idx="60">
                    <c:v>5</c:v>
                  </c:pt>
                </c:lvl>
              </c:multiLvlStrCache>
            </c:multiLvlStrRef>
          </c:cat>
          <c:val>
            <c:numRef>
              <c:f>Vidas_Nivel!$B$2:$B$80</c:f>
              <c:numCache>
                <c:formatCode>General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1</c:v>
                </c:pt>
                <c:pt idx="60">
                  <c:v>0</c:v>
                </c:pt>
                <c:pt idx="61">
                  <c:v>0</c:v>
                </c:pt>
                <c:pt idx="62">
                  <c:v>1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9140584"/>
        <c:axId val="299140976"/>
      </c:barChart>
      <c:catAx>
        <c:axId val="2991405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Nível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299140976"/>
        <c:crosses val="autoZero"/>
        <c:auto val="1"/>
        <c:lblAlgn val="ctr"/>
        <c:lblOffset val="100"/>
        <c:noMultiLvlLbl val="0"/>
      </c:catAx>
      <c:valAx>
        <c:axId val="299140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Vidas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299140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[exelFinalMacroFINAL11.xltm]Insistencias_Idade!Tabela dinâmica9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Insistências por Idade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Insistencias_Idade!$B$1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Insistencias_Idade!$A$2:$A$5</c:f>
              <c:strCache>
                <c:ptCount val="3"/>
                <c:pt idx="0">
                  <c:v>7</c:v>
                </c:pt>
                <c:pt idx="1">
                  <c:v>9</c:v>
                </c:pt>
                <c:pt idx="2">
                  <c:v>10</c:v>
                </c:pt>
              </c:strCache>
            </c:strRef>
          </c:cat>
          <c:val>
            <c:numRef>
              <c:f>Insistencias_Idade!$B$2:$B$5</c:f>
              <c:numCache>
                <c:formatCode>General</c:formatCode>
                <c:ptCount val="3"/>
                <c:pt idx="0">
                  <c:v>39</c:v>
                </c:pt>
                <c:pt idx="1">
                  <c:v>6</c:v>
                </c:pt>
                <c:pt idx="2">
                  <c:v>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1038656"/>
        <c:axId val="301040224"/>
      </c:lineChart>
      <c:catAx>
        <c:axId val="3010386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Idade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301040224"/>
        <c:crosses val="autoZero"/>
        <c:auto val="1"/>
        <c:lblAlgn val="ctr"/>
        <c:lblOffset val="100"/>
        <c:noMultiLvlLbl val="0"/>
      </c:catAx>
      <c:valAx>
        <c:axId val="301040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Insistências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301038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[exelFinalMacroFINAL11.xltm]Itens_Sexo!Tabela dinâmica10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 sz="1800" b="0" i="0" baseline="0">
                <a:effectLst/>
              </a:rPr>
              <a:t>Itens Bons/Maus por Sexo</a:t>
            </a:r>
            <a:endParaRPr lang="pt-PT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Itens_Sexo!$B$1</c:f>
              <c:strCache>
                <c:ptCount val="1"/>
                <c:pt idx="0">
                  <c:v>Soma de maus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Itens_Sexo!$A$2:$A$4</c:f>
              <c:strCache>
                <c:ptCount val="2"/>
                <c:pt idx="0">
                  <c:v> Feminino</c:v>
                </c:pt>
                <c:pt idx="1">
                  <c:v> Masculino</c:v>
                </c:pt>
              </c:strCache>
            </c:strRef>
          </c:cat>
          <c:val>
            <c:numRef>
              <c:f>Itens_Sexo!$B$2:$B$4</c:f>
              <c:numCache>
                <c:formatCode>General</c:formatCode>
                <c:ptCount val="2"/>
                <c:pt idx="0">
                  <c:v>20</c:v>
                </c:pt>
                <c:pt idx="1">
                  <c:v>22</c:v>
                </c:pt>
              </c:numCache>
            </c:numRef>
          </c:val>
        </c:ser>
        <c:ser>
          <c:idx val="1"/>
          <c:order val="1"/>
          <c:tx>
            <c:strRef>
              <c:f>Itens_Sexo!$C$1</c:f>
              <c:strCache>
                <c:ptCount val="1"/>
                <c:pt idx="0">
                  <c:v>Soma de bons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Itens_Sexo!$A$2:$A$4</c:f>
              <c:strCache>
                <c:ptCount val="2"/>
                <c:pt idx="0">
                  <c:v> Feminino</c:v>
                </c:pt>
                <c:pt idx="1">
                  <c:v> Masculino</c:v>
                </c:pt>
              </c:strCache>
            </c:strRef>
          </c:cat>
          <c:val>
            <c:numRef>
              <c:f>Itens_Sexo!$C$2:$C$4</c:f>
              <c:numCache>
                <c:formatCode>General</c:formatCode>
                <c:ptCount val="2"/>
                <c:pt idx="0">
                  <c:v>144</c:v>
                </c:pt>
                <c:pt idx="1">
                  <c:v>432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01040616"/>
        <c:axId val="301039048"/>
      </c:barChart>
      <c:catAx>
        <c:axId val="3010406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Sexo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301039048"/>
        <c:crosses val="autoZero"/>
        <c:auto val="1"/>
        <c:lblAlgn val="ctr"/>
        <c:lblOffset val="100"/>
        <c:noMultiLvlLbl val="0"/>
      </c:catAx>
      <c:valAx>
        <c:axId val="301039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Itens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301040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[exelFinalMacroFINAL11.xltm]Itens_Idade!Tabela dinâmica11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 sz="1800" b="0" i="0" baseline="0">
                <a:effectLst/>
              </a:rPr>
              <a:t>Itens Bons/Maus por Idade</a:t>
            </a:r>
            <a:endParaRPr lang="pt-PT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Itens_Idade!$B$1</c:f>
              <c:strCache>
                <c:ptCount val="1"/>
                <c:pt idx="0">
                  <c:v>Soma de maus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Itens_Idade!$A$2:$A$5</c:f>
              <c:strCache>
                <c:ptCount val="3"/>
                <c:pt idx="0">
                  <c:v>7</c:v>
                </c:pt>
                <c:pt idx="1">
                  <c:v>9</c:v>
                </c:pt>
                <c:pt idx="2">
                  <c:v>10</c:v>
                </c:pt>
              </c:strCache>
            </c:strRef>
          </c:cat>
          <c:val>
            <c:numRef>
              <c:f>Itens_Idade!$B$2:$B$5</c:f>
              <c:numCache>
                <c:formatCode>General</c:formatCode>
                <c:ptCount val="3"/>
                <c:pt idx="0">
                  <c:v>12</c:v>
                </c:pt>
                <c:pt idx="1">
                  <c:v>16</c:v>
                </c:pt>
                <c:pt idx="2">
                  <c:v>14</c:v>
                </c:pt>
              </c:numCache>
            </c:numRef>
          </c:val>
        </c:ser>
        <c:ser>
          <c:idx val="1"/>
          <c:order val="1"/>
          <c:tx>
            <c:strRef>
              <c:f>Itens_Idade!$C$1</c:f>
              <c:strCache>
                <c:ptCount val="1"/>
                <c:pt idx="0">
                  <c:v>Soma de bons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Itens_Idade!$A$2:$A$5</c:f>
              <c:strCache>
                <c:ptCount val="3"/>
                <c:pt idx="0">
                  <c:v>7</c:v>
                </c:pt>
                <c:pt idx="1">
                  <c:v>9</c:v>
                </c:pt>
                <c:pt idx="2">
                  <c:v>10</c:v>
                </c:pt>
              </c:strCache>
            </c:strRef>
          </c:cat>
          <c:val>
            <c:numRef>
              <c:f>Itens_Idade!$C$2:$C$5</c:f>
              <c:numCache>
                <c:formatCode>General</c:formatCode>
                <c:ptCount val="3"/>
                <c:pt idx="0">
                  <c:v>96</c:v>
                </c:pt>
                <c:pt idx="1">
                  <c:v>384</c:v>
                </c:pt>
                <c:pt idx="2">
                  <c:v>96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01042968"/>
        <c:axId val="301039832"/>
      </c:barChart>
      <c:catAx>
        <c:axId val="3010429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Idade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301039832"/>
        <c:crosses val="autoZero"/>
        <c:auto val="1"/>
        <c:lblAlgn val="ctr"/>
        <c:lblOffset val="100"/>
        <c:noMultiLvlLbl val="0"/>
      </c:catAx>
      <c:valAx>
        <c:axId val="301039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Itens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301042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[exelFinalMacroFINAL11.xltm]Pontuacao_Nivel!Tabela dinâmica12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Pontuação</a:t>
            </a:r>
            <a:r>
              <a:rPr lang="pt-PT" baseline="0"/>
              <a:t> por Nível</a:t>
            </a:r>
            <a:endParaRPr lang="pt-P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1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</c:pivotFmt>
      <c:pivotFmt>
        <c:idx val="1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60000"/>
              </a:schemeClr>
            </a:solidFill>
            <a:ln w="9525">
              <a:solidFill>
                <a:schemeClr val="accent1">
                  <a:lumMod val="60000"/>
                </a:schemeClr>
              </a:solidFill>
            </a:ln>
            <a:effectLst/>
          </c:spPr>
        </c:marker>
      </c:pivotFmt>
      <c:pivotFmt>
        <c:idx val="1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</a:ln>
            <a:effectLst/>
          </c:spPr>
        </c:marker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60000"/>
              </a:schemeClr>
            </a:solidFill>
            <a:ln w="9525">
              <a:solidFill>
                <a:schemeClr val="accent3">
                  <a:lumMod val="60000"/>
                </a:schemeClr>
              </a:solidFill>
            </a:ln>
            <a:effectLst/>
          </c:spPr>
        </c:marker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60000"/>
              </a:schemeClr>
            </a:solidFill>
            <a:ln w="9525">
              <a:solidFill>
                <a:schemeClr val="accent3">
                  <a:lumMod val="60000"/>
                </a:schemeClr>
              </a:solidFill>
            </a:ln>
            <a:effectLst/>
          </c:spPr>
        </c:marker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>
                <a:lumMod val="60000"/>
              </a:schemeClr>
            </a:solidFill>
            <a:ln w="9525">
              <a:solidFill>
                <a:schemeClr val="accent4">
                  <a:lumMod val="60000"/>
                </a:schemeClr>
              </a:solidFill>
            </a:ln>
            <a:effectLst/>
          </c:spPr>
        </c:marker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60000"/>
              </a:schemeClr>
            </a:solidFill>
            <a:ln w="9525">
              <a:solidFill>
                <a:schemeClr val="accent5">
                  <a:lumMod val="60000"/>
                </a:schemeClr>
              </a:solidFill>
            </a:ln>
            <a:effectLst/>
          </c:spPr>
        </c:marker>
      </c:pivotFmt>
      <c:pivotFmt>
        <c:idx val="2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60000"/>
              </a:schemeClr>
            </a:solidFill>
            <a:ln w="9525">
              <a:solidFill>
                <a:schemeClr val="accent6">
                  <a:lumMod val="60000"/>
                </a:schemeClr>
              </a:solidFill>
            </a:ln>
            <a:effectLst/>
          </c:spPr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Pontuacao_Nivel!$B$1:$B$2</c:f>
              <c:strCache>
                <c:ptCount val="1"/>
                <c:pt idx="0">
                  <c:v>1/15/2015 11:48:49 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Pontuacao_Nivel!$A$3:$A$9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Pontuacao_Nivel!$B$3:$B$9</c:f>
              <c:numCache>
                <c:formatCode>General</c:formatCode>
                <c:ptCount val="6"/>
                <c:pt idx="0">
                  <c:v>30</c:v>
                </c:pt>
                <c:pt idx="1">
                  <c:v>55</c:v>
                </c:pt>
                <c:pt idx="2">
                  <c:v>110</c:v>
                </c:pt>
                <c:pt idx="3">
                  <c:v>200</c:v>
                </c:pt>
                <c:pt idx="4">
                  <c:v>320</c:v>
                </c:pt>
                <c:pt idx="5">
                  <c:v>470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Pontuacao_Nivel!$C$1:$C$2</c:f>
              <c:strCache>
                <c:ptCount val="1"/>
                <c:pt idx="0">
                  <c:v>1/16/2015 10:06:08 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Pontuacao_Nivel!$A$3:$A$9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Pontuacao_Nivel!$C$3:$C$9</c:f>
              <c:numCache>
                <c:formatCode>General</c:formatCode>
                <c:ptCount val="6"/>
                <c:pt idx="0">
                  <c:v>20</c:v>
                </c:pt>
                <c:pt idx="1">
                  <c:v>45</c:v>
                </c:pt>
                <c:pt idx="2">
                  <c:v>100</c:v>
                </c:pt>
                <c:pt idx="3">
                  <c:v>190</c:v>
                </c:pt>
                <c:pt idx="4">
                  <c:v>305</c:v>
                </c:pt>
                <c:pt idx="5">
                  <c:v>450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Pontuacao_Nivel!$D$1:$D$2</c:f>
              <c:strCache>
                <c:ptCount val="1"/>
                <c:pt idx="0">
                  <c:v>1/16/2015 10:13:34 AM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Pontuacao_Nivel!$A$3:$A$9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Pontuacao_Nivel!$D$3:$D$9</c:f>
              <c:numCache>
                <c:formatCode>General</c:formatCode>
                <c:ptCount val="6"/>
                <c:pt idx="0">
                  <c:v>30</c:v>
                </c:pt>
                <c:pt idx="1">
                  <c:v>60</c:v>
                </c:pt>
                <c:pt idx="2">
                  <c:v>120</c:v>
                </c:pt>
                <c:pt idx="3">
                  <c:v>200</c:v>
                </c:pt>
                <c:pt idx="4">
                  <c:v>305</c:v>
                </c:pt>
                <c:pt idx="5">
                  <c:v>440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Pontuacao_Nivel!$E$1:$E$2</c:f>
              <c:strCache>
                <c:ptCount val="1"/>
                <c:pt idx="0">
                  <c:v>1/16/2015 10:34:34 AM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Pontuacao_Nivel!$A$3:$A$9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Pontuacao_Nivel!$E$3:$E$9</c:f>
              <c:numCache>
                <c:formatCode>General</c:formatCode>
                <c:ptCount val="6"/>
                <c:pt idx="0">
                  <c:v>20</c:v>
                </c:pt>
                <c:pt idx="1">
                  <c:v>45</c:v>
                </c:pt>
                <c:pt idx="2">
                  <c:v>105</c:v>
                </c:pt>
                <c:pt idx="3">
                  <c:v>195</c:v>
                </c:pt>
                <c:pt idx="4">
                  <c:v>310</c:v>
                </c:pt>
                <c:pt idx="5">
                  <c:v>455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Pontuacao_Nivel!$F$1:$F$2</c:f>
              <c:strCache>
                <c:ptCount val="1"/>
                <c:pt idx="0">
                  <c:v>1/17/2015 11:48:49 AM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Pontuacao_Nivel!$A$3:$A$9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Pontuacao_Nivel!$F$3:$F$9</c:f>
              <c:numCache>
                <c:formatCode>General</c:formatCode>
                <c:ptCount val="6"/>
                <c:pt idx="0">
                  <c:v>30</c:v>
                </c:pt>
                <c:pt idx="1">
                  <c:v>55</c:v>
                </c:pt>
                <c:pt idx="2">
                  <c:v>110</c:v>
                </c:pt>
                <c:pt idx="3">
                  <c:v>200</c:v>
                </c:pt>
                <c:pt idx="4">
                  <c:v>320</c:v>
                </c:pt>
                <c:pt idx="5">
                  <c:v>470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Pontuacao_Nivel!$G$1:$G$2</c:f>
              <c:strCache>
                <c:ptCount val="1"/>
                <c:pt idx="0">
                  <c:v>1/18/2015 11:48:49 AM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Pontuacao_Nivel!$A$3:$A$9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Pontuacao_Nivel!$G$3:$G$9</c:f>
              <c:numCache>
                <c:formatCode>General</c:formatCode>
                <c:ptCount val="6"/>
                <c:pt idx="0">
                  <c:v>30</c:v>
                </c:pt>
                <c:pt idx="1">
                  <c:v>55</c:v>
                </c:pt>
                <c:pt idx="2">
                  <c:v>110</c:v>
                </c:pt>
                <c:pt idx="3">
                  <c:v>200</c:v>
                </c:pt>
                <c:pt idx="4">
                  <c:v>320</c:v>
                </c:pt>
                <c:pt idx="5">
                  <c:v>470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Pontuacao_Nivel!$H$1:$H$2</c:f>
              <c:strCache>
                <c:ptCount val="1"/>
                <c:pt idx="0">
                  <c:v>1/19/2015 11:48:49 AM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strRef>
              <c:f>Pontuacao_Nivel!$A$3:$A$9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Pontuacao_Nivel!$H$3:$H$9</c:f>
              <c:numCache>
                <c:formatCode>General</c:formatCode>
                <c:ptCount val="6"/>
                <c:pt idx="0">
                  <c:v>30</c:v>
                </c:pt>
                <c:pt idx="1">
                  <c:v>55</c:v>
                </c:pt>
                <c:pt idx="2">
                  <c:v>110</c:v>
                </c:pt>
                <c:pt idx="3">
                  <c:v>200</c:v>
                </c:pt>
                <c:pt idx="4">
                  <c:v>320</c:v>
                </c:pt>
                <c:pt idx="5">
                  <c:v>470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Pontuacao_Nivel!$I$1:$I$2</c:f>
              <c:strCache>
                <c:ptCount val="1"/>
                <c:pt idx="0">
                  <c:v>1/20/2015 11:48:49 AM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strRef>
              <c:f>Pontuacao_Nivel!$A$3:$A$9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Pontuacao_Nivel!$I$3:$I$9</c:f>
              <c:numCache>
                <c:formatCode>General</c:formatCode>
                <c:ptCount val="6"/>
                <c:pt idx="0">
                  <c:v>30</c:v>
                </c:pt>
                <c:pt idx="1">
                  <c:v>55</c:v>
                </c:pt>
                <c:pt idx="2">
                  <c:v>110</c:v>
                </c:pt>
                <c:pt idx="3">
                  <c:v>200</c:v>
                </c:pt>
                <c:pt idx="4">
                  <c:v>320</c:v>
                </c:pt>
                <c:pt idx="5">
                  <c:v>470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Pontuacao_Nivel!$J$1:$J$2</c:f>
              <c:strCache>
                <c:ptCount val="1"/>
                <c:pt idx="0">
                  <c:v>01/10/2015 11:48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strRef>
              <c:f>Pontuacao_Nivel!$A$3:$A$9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Pontuacao_Nivel!$J$3:$J$9</c:f>
              <c:numCache>
                <c:formatCode>General</c:formatCode>
                <c:ptCount val="6"/>
                <c:pt idx="0">
                  <c:v>30</c:v>
                </c:pt>
                <c:pt idx="1">
                  <c:v>55</c:v>
                </c:pt>
                <c:pt idx="2">
                  <c:v>110</c:v>
                </c:pt>
                <c:pt idx="3">
                  <c:v>200</c:v>
                </c:pt>
                <c:pt idx="4">
                  <c:v>320</c:v>
                </c:pt>
                <c:pt idx="5">
                  <c:v>470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Pontuacao_Nivel!$K$1:$K$2</c:f>
              <c:strCache>
                <c:ptCount val="1"/>
                <c:pt idx="0">
                  <c:v>01/11/2015 11:48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strRef>
              <c:f>Pontuacao_Nivel!$A$3:$A$9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Pontuacao_Nivel!$K$3:$K$9</c:f>
              <c:numCache>
                <c:formatCode>General</c:formatCode>
                <c:ptCount val="6"/>
                <c:pt idx="0">
                  <c:v>30</c:v>
                </c:pt>
                <c:pt idx="1">
                  <c:v>55</c:v>
                </c:pt>
                <c:pt idx="2">
                  <c:v>110</c:v>
                </c:pt>
                <c:pt idx="3">
                  <c:v>200</c:v>
                </c:pt>
                <c:pt idx="4">
                  <c:v>320</c:v>
                </c:pt>
                <c:pt idx="5">
                  <c:v>470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Pontuacao_Nivel!$L$1:$L$2</c:f>
              <c:strCache>
                <c:ptCount val="1"/>
                <c:pt idx="0">
                  <c:v>01/03/2015 11:48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Pontuacao_Nivel!$A$3:$A$9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Pontuacao_Nivel!$L$3:$L$9</c:f>
              <c:numCache>
                <c:formatCode>General</c:formatCode>
                <c:ptCount val="6"/>
                <c:pt idx="0">
                  <c:v>30</c:v>
                </c:pt>
                <c:pt idx="1">
                  <c:v>55</c:v>
                </c:pt>
                <c:pt idx="2">
                  <c:v>110</c:v>
                </c:pt>
                <c:pt idx="3">
                  <c:v>200</c:v>
                </c:pt>
                <c:pt idx="4">
                  <c:v>320</c:v>
                </c:pt>
                <c:pt idx="5">
                  <c:v>470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Pontuacao_Nivel!$M$1:$M$2</c:f>
              <c:strCache>
                <c:ptCount val="1"/>
                <c:pt idx="0">
                  <c:v>1/16/2015 1:34:32 PM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cat>
            <c:strRef>
              <c:f>Pontuacao_Nivel!$A$3:$A$9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Pontuacao_Nivel!$M$3:$M$9</c:f>
              <c:numCache>
                <c:formatCode>General</c:formatCode>
                <c:ptCount val="6"/>
                <c:pt idx="0">
                  <c:v>10</c:v>
                </c:pt>
                <c:pt idx="1">
                  <c:v>35</c:v>
                </c:pt>
                <c:pt idx="2">
                  <c:v>95</c:v>
                </c:pt>
                <c:pt idx="3">
                  <c:v>185</c:v>
                </c:pt>
                <c:pt idx="4">
                  <c:v>295</c:v>
                </c:pt>
                <c:pt idx="5">
                  <c:v>445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1037088"/>
        <c:axId val="301037872"/>
      </c:lineChart>
      <c:catAx>
        <c:axId val="3010370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Nível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301037872"/>
        <c:crosses val="autoZero"/>
        <c:auto val="1"/>
        <c:lblAlgn val="ctr"/>
        <c:lblOffset val="100"/>
        <c:noMultiLvlLbl val="0"/>
      </c:catAx>
      <c:valAx>
        <c:axId val="301037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Pontuação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301037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[exelFinalMacroFINAL11.xltm]Insistencias_Nivel!Tabela dinâmica13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Média</a:t>
            </a:r>
            <a:r>
              <a:rPr lang="en-US" baseline="0"/>
              <a:t> de Insistências por Nível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Insistencias_Nivel!$B$1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Insistencias_Nivel!$A$2:$A$8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Insistencias_Nivel!$B$2:$B$8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11</c:v>
                </c:pt>
                <c:pt idx="4">
                  <c:v>18</c:v>
                </c:pt>
                <c:pt idx="5">
                  <c:v>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1036304"/>
        <c:axId val="301037480"/>
      </c:lineChart>
      <c:catAx>
        <c:axId val="301036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Nível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301037480"/>
        <c:crosses val="autoZero"/>
        <c:auto val="1"/>
        <c:lblAlgn val="ctr"/>
        <c:lblOffset val="100"/>
        <c:noMultiLvlLbl val="0"/>
      </c:catAx>
      <c:valAx>
        <c:axId val="301037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Média</a:t>
                </a:r>
                <a:r>
                  <a:rPr lang="pt-PT" baseline="0"/>
                  <a:t> Insistências</a:t>
                </a:r>
                <a:endParaRPr lang="pt-PT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301036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[exelFinalMacroFINAL11.xltm]Nivel_Tempo!Tabela dinâmica3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Nivel_Tempo!$B$1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Nivel_Tempo!$A$2:$A$8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Nivel_Tempo!$B$2:$B$8</c:f>
              <c:numCache>
                <c:formatCode>General</c:formatCode>
                <c:ptCount val="6"/>
                <c:pt idx="0">
                  <c:v>10.083333333333334</c:v>
                </c:pt>
                <c:pt idx="1">
                  <c:v>20.833333333333332</c:v>
                </c:pt>
                <c:pt idx="2">
                  <c:v>40.583333333333336</c:v>
                </c:pt>
                <c:pt idx="3">
                  <c:v>59.333333333333336</c:v>
                </c:pt>
                <c:pt idx="4">
                  <c:v>101.5</c:v>
                </c:pt>
                <c:pt idx="5">
                  <c:v>122.16666666666667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09707424"/>
        <c:axId val="309711736"/>
      </c:barChart>
      <c:catAx>
        <c:axId val="309707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Nível</a:t>
                </a:r>
              </a:p>
              <a:p>
                <a:pPr>
                  <a:defRPr/>
                </a:pPr>
                <a:endParaRPr lang="pt-PT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309711736"/>
        <c:crosses val="autoZero"/>
        <c:auto val="1"/>
        <c:lblAlgn val="ctr"/>
        <c:lblOffset val="100"/>
        <c:noMultiLvlLbl val="0"/>
      </c:catAx>
      <c:valAx>
        <c:axId val="309711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Tempo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309707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Dados!$R$2</c:f>
              <c:strCache>
                <c:ptCount val="1"/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Dados!$S$2:$X$2</c:f>
              <c:numCache>
                <c:formatCode>General</c:formatCode>
                <c:ptCount val="6"/>
              </c:numCache>
              <c:extLst xmlns:c15="http://schemas.microsoft.com/office/drawing/2012/chart"/>
            </c:numRef>
          </c:val>
          <c:smooth val="0"/>
        </c:ser>
        <c:ser>
          <c:idx val="1"/>
          <c:order val="1"/>
          <c:tx>
            <c:strRef>
              <c:f>Dados!$R$3</c:f>
              <c:strCache>
                <c:ptCount val="1"/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Dados!$S$3:$X$3</c:f>
              <c:numCache>
                <c:formatCode>General</c:formatCode>
                <c:ptCount val="6"/>
              </c:numCache>
              <c:extLst xmlns:c15="http://schemas.microsoft.com/office/drawing/2012/chart"/>
            </c:numRef>
          </c:val>
          <c:smooth val="0"/>
        </c:ser>
        <c:ser>
          <c:idx val="2"/>
          <c:order val="2"/>
          <c:tx>
            <c:strRef>
              <c:f>Dados!$R$4</c:f>
              <c:strCache>
                <c:ptCount val="1"/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Dados!$S$4:$X$4</c:f>
              <c:numCache>
                <c:formatCode>General</c:formatCode>
                <c:ptCount val="6"/>
              </c:numCache>
              <c:extLst xmlns:c15="http://schemas.microsoft.com/office/drawing/2012/chart"/>
            </c:numRef>
          </c:val>
          <c:smooth val="0"/>
        </c:ser>
        <c:ser>
          <c:idx val="5"/>
          <c:order val="5"/>
          <c:tx>
            <c:strRef>
              <c:f>Dados!$R$7</c:f>
              <c:strCache>
                <c:ptCount val="1"/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Dados!$S$7:$X$7</c:f>
              <c:numCache>
                <c:formatCode>General</c:formatCode>
                <c:ptCount val="6"/>
              </c:numCache>
            </c:numRef>
          </c:val>
          <c:smooth val="0"/>
        </c:ser>
        <c:ser>
          <c:idx val="7"/>
          <c:order val="7"/>
          <c:tx>
            <c:strRef>
              <c:f>Dados!$R$9</c:f>
              <c:strCache>
                <c:ptCount val="1"/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Dados!$S$9:$X$9</c:f>
              <c:numCache>
                <c:formatCode>General</c:formatCode>
                <c:ptCount val="6"/>
              </c:numCache>
            </c:numRef>
          </c:val>
          <c:smooth val="0"/>
        </c:ser>
        <c:ser>
          <c:idx val="12"/>
          <c:order val="12"/>
          <c:tx>
            <c:strRef>
              <c:f>Dados!$R$14</c:f>
              <c:strCache>
                <c:ptCount val="1"/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Dados!$S$14:$X$14</c:f>
              <c:numCache>
                <c:formatCode>General</c:formatCode>
                <c:ptCount val="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706248"/>
        <c:axId val="309710560"/>
        <c:extLst>
          <c:ext xmlns:c15="http://schemas.microsoft.com/office/drawing/2012/chart" uri="{02D57815-91ED-43cb-92C2-25804820EDAC}">
            <c15:filteredLine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Dados!$R$5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Dados!$S$5:$X$5</c15:sqref>
                        </c15:formulaRef>
                      </c:ext>
                    </c:extLst>
                    <c:numCache>
                      <c:formatCode>General</c:formatCode>
                      <c:ptCount val="6"/>
                    </c:numCache>
                  </c:numRef>
                </c:val>
                <c:smooth val="0"/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Dados!$R$6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Dados!$S$6:$X$6</c15:sqref>
                        </c15:formulaRef>
                      </c:ext>
                    </c:extLst>
                    <c:numCache>
                      <c:formatCode>General</c:formatCode>
                      <c:ptCount val="6"/>
                    </c:numCache>
                  </c:numRef>
                </c:val>
                <c:smooth val="0"/>
              </c15:ser>
            </c15:filteredLineSeries>
            <c15:filteredLine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Dados!$R$8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Dados!$S$8:$X$8</c15:sqref>
                        </c15:formulaRef>
                      </c:ext>
                    </c:extLst>
                    <c:numCache>
                      <c:formatCode>General</c:formatCode>
                      <c:ptCount val="6"/>
                    </c:numCache>
                  </c:numRef>
                </c:val>
                <c:smooth val="0"/>
              </c15:ser>
            </c15:filteredLineSeries>
            <c15:filteredLine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Dados!$R$10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Dados!$S$10:$X$10</c15:sqref>
                        </c15:formulaRef>
                      </c:ext>
                    </c:extLst>
                    <c:numCache>
                      <c:formatCode>General</c:formatCode>
                      <c:ptCount val="6"/>
                    </c:numCache>
                  </c:numRef>
                </c:val>
                <c:smooth val="0"/>
              </c15:ser>
            </c15:filteredLineSeries>
            <c15:filteredLine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Dados!$R$11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Dados!$S$11:$X$11</c15:sqref>
                        </c15:formulaRef>
                      </c:ext>
                    </c:extLst>
                    <c:numCache>
                      <c:formatCode>General</c:formatCode>
                      <c:ptCount val="6"/>
                    </c:numCache>
                  </c:numRef>
                </c:val>
                <c:smooth val="0"/>
              </c15:ser>
            </c15:filteredLineSeries>
            <c15:filteredLine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Dados!$R$12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Dados!$S$12:$X$12</c15:sqref>
                        </c15:formulaRef>
                      </c:ext>
                    </c:extLst>
                    <c:numCache>
                      <c:formatCode>General</c:formatCode>
                      <c:ptCount val="6"/>
                    </c:numCache>
                  </c:numRef>
                </c:val>
                <c:smooth val="0"/>
              </c15:ser>
            </c15:filteredLineSeries>
            <c15:filteredLine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Dados!$R$13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Dados!$S$13:$X$13</c15:sqref>
                        </c15:formulaRef>
                      </c:ext>
                    </c:extLst>
                    <c:numCache>
                      <c:formatCode>General</c:formatCode>
                      <c:ptCount val="6"/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309706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309710560"/>
        <c:crosses val="autoZero"/>
        <c:auto val="1"/>
        <c:lblAlgn val="ctr"/>
        <c:lblOffset val="100"/>
        <c:noMultiLvlLbl val="0"/>
      </c:catAx>
      <c:valAx>
        <c:axId val="30971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309706248"/>
        <c:crosses val="autoZero"/>
        <c:crossBetween val="between"/>
        <c:majorUnit val="25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[exelFinalMacroFINAL11.xltm]Folha4!Tabela dinâmica5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Folha4!$C$5:$C$6</c:f>
              <c:strCache>
                <c:ptCount val="1"/>
                <c:pt idx="0">
                  <c:v>j4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Folha4!$B$7:$B$9</c:f>
              <c:strCache>
                <c:ptCount val="3"/>
                <c:pt idx="0">
                  <c:v>Soma de N4</c:v>
                </c:pt>
                <c:pt idx="1">
                  <c:v>Soma de N5</c:v>
                </c:pt>
                <c:pt idx="2">
                  <c:v>Soma de N6</c:v>
                </c:pt>
              </c:strCache>
            </c:strRef>
          </c:cat>
          <c:val>
            <c:numRef>
              <c:f>Folha4!$C$7:$C$9</c:f>
              <c:numCache>
                <c:formatCode>General</c:formatCode>
                <c:ptCount val="3"/>
                <c:pt idx="0">
                  <c:v>200</c:v>
                </c:pt>
                <c:pt idx="1">
                  <c:v>320</c:v>
                </c:pt>
                <c:pt idx="2">
                  <c:v>470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Folha4!$D$5:$D$6</c:f>
              <c:strCache>
                <c:ptCount val="1"/>
                <c:pt idx="0">
                  <c:v>j5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Folha4!$B$7:$B$9</c:f>
              <c:strCache>
                <c:ptCount val="3"/>
                <c:pt idx="0">
                  <c:v>Soma de N4</c:v>
                </c:pt>
                <c:pt idx="1">
                  <c:v>Soma de N5</c:v>
                </c:pt>
                <c:pt idx="2">
                  <c:v>Soma de N6</c:v>
                </c:pt>
              </c:strCache>
            </c:strRef>
          </c:cat>
          <c:val>
            <c:numRef>
              <c:f>Folha4!$D$7:$D$9</c:f>
              <c:numCache>
                <c:formatCode>General</c:formatCode>
                <c:ptCount val="3"/>
                <c:pt idx="0">
                  <c:v>400</c:v>
                </c:pt>
                <c:pt idx="1">
                  <c:v>640</c:v>
                </c:pt>
                <c:pt idx="2">
                  <c:v>940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Folha4!$E$5:$E$6</c:f>
              <c:strCache>
                <c:ptCount val="1"/>
                <c:pt idx="0">
                  <c:v>j6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Folha4!$B$7:$B$9</c:f>
              <c:strCache>
                <c:ptCount val="3"/>
                <c:pt idx="0">
                  <c:v>Soma de N4</c:v>
                </c:pt>
                <c:pt idx="1">
                  <c:v>Soma de N5</c:v>
                </c:pt>
                <c:pt idx="2">
                  <c:v>Soma de N6</c:v>
                </c:pt>
              </c:strCache>
            </c:strRef>
          </c:cat>
          <c:val>
            <c:numRef>
              <c:f>Folha4!$E$7:$E$9</c:f>
              <c:numCache>
                <c:formatCode>General</c:formatCode>
                <c:ptCount val="3"/>
                <c:pt idx="0">
                  <c:v>195</c:v>
                </c:pt>
                <c:pt idx="1">
                  <c:v>310</c:v>
                </c:pt>
                <c:pt idx="2">
                  <c:v>455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Folha4!$F$5:$F$6</c:f>
              <c:strCache>
                <c:ptCount val="1"/>
                <c:pt idx="0">
                  <c:v>j8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Folha4!$B$7:$B$9</c:f>
              <c:strCache>
                <c:ptCount val="3"/>
                <c:pt idx="0">
                  <c:v>Soma de N4</c:v>
                </c:pt>
                <c:pt idx="1">
                  <c:v>Soma de N5</c:v>
                </c:pt>
                <c:pt idx="2">
                  <c:v>Soma de N6</c:v>
                </c:pt>
              </c:strCache>
            </c:strRef>
          </c:cat>
          <c:val>
            <c:numRef>
              <c:f>Folha4!$F$7:$F$9</c:f>
              <c:numCache>
                <c:formatCode>General</c:formatCode>
                <c:ptCount val="3"/>
                <c:pt idx="0">
                  <c:v>190</c:v>
                </c:pt>
                <c:pt idx="1">
                  <c:v>305</c:v>
                </c:pt>
                <c:pt idx="2">
                  <c:v>450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708208"/>
        <c:axId val="309708600"/>
      </c:lineChart>
      <c:catAx>
        <c:axId val="309708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309708600"/>
        <c:crosses val="autoZero"/>
        <c:auto val="1"/>
        <c:lblAlgn val="ctr"/>
        <c:lblOffset val="100"/>
        <c:noMultiLvlLbl val="0"/>
      </c:catAx>
      <c:valAx>
        <c:axId val="309708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309708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581022</xdr:colOff>
      <xdr:row>1</xdr:row>
      <xdr:rowOff>57147</xdr:rowOff>
    </xdr:from>
    <xdr:to>
      <xdr:col>24</xdr:col>
      <xdr:colOff>9524</xdr:colOff>
      <xdr:row>35</xdr:row>
      <xdr:rowOff>161925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400049</xdr:colOff>
      <xdr:row>1</xdr:row>
      <xdr:rowOff>190499</xdr:rowOff>
    </xdr:from>
    <xdr:to>
      <xdr:col>22</xdr:col>
      <xdr:colOff>238125</xdr:colOff>
      <xdr:row>27</xdr:row>
      <xdr:rowOff>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609599</xdr:colOff>
      <xdr:row>1</xdr:row>
      <xdr:rowOff>0</xdr:rowOff>
    </xdr:from>
    <xdr:to>
      <xdr:col>12</xdr:col>
      <xdr:colOff>600074</xdr:colOff>
      <xdr:row>19</xdr:row>
      <xdr:rowOff>133350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28574</xdr:rowOff>
    </xdr:from>
    <xdr:to>
      <xdr:col>12</xdr:col>
      <xdr:colOff>171450</xdr:colOff>
      <xdr:row>16</xdr:row>
      <xdr:rowOff>133349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609599</xdr:colOff>
      <xdr:row>0</xdr:row>
      <xdr:rowOff>190499</xdr:rowOff>
    </xdr:from>
    <xdr:to>
      <xdr:col>13</xdr:col>
      <xdr:colOff>600075</xdr:colOff>
      <xdr:row>19</xdr:row>
      <xdr:rowOff>85725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266700</xdr:colOff>
      <xdr:row>11</xdr:row>
      <xdr:rowOff>38099</xdr:rowOff>
    </xdr:from>
    <xdr:to>
      <xdr:col>7</xdr:col>
      <xdr:colOff>76200</xdr:colOff>
      <xdr:row>37</xdr:row>
      <xdr:rowOff>19050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609599</xdr:colOff>
      <xdr:row>1</xdr:row>
      <xdr:rowOff>0</xdr:rowOff>
    </xdr:from>
    <xdr:to>
      <xdr:col>12</xdr:col>
      <xdr:colOff>600074</xdr:colOff>
      <xdr:row>18</xdr:row>
      <xdr:rowOff>76200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9525</xdr:rowOff>
        </xdr:from>
        <xdr:to>
          <xdr:col>23</xdr:col>
          <xdr:colOff>428625</xdr:colOff>
          <xdr:row>59</xdr:row>
          <xdr:rowOff>47625</xdr:rowOff>
        </xdr:to>
        <xdr:sp macro="" textlink="">
          <xdr:nvSpPr>
            <xdr:cNvPr id="19457" name="AroAxControlShim1" descr="Vista Avançada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13</xdr:col>
      <xdr:colOff>203200</xdr:colOff>
      <xdr:row>33</xdr:row>
      <xdr:rowOff>60960</xdr:rowOff>
    </xdr:to>
    <xdr:pic>
      <xdr:nvPicPr>
        <xdr:cNvPr id="2" name="Imagem 1" descr="Vista Avançada"/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128000" cy="60960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13</xdr:col>
      <xdr:colOff>563880</xdr:colOff>
      <xdr:row>20</xdr:row>
      <xdr:rowOff>106680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438150</xdr:colOff>
          <xdr:row>1</xdr:row>
          <xdr:rowOff>0</xdr:rowOff>
        </xdr:from>
        <xdr:to>
          <xdr:col>16</xdr:col>
          <xdr:colOff>66675</xdr:colOff>
          <xdr:row>2</xdr:row>
          <xdr:rowOff>133350</xdr:rowOff>
        </xdr:to>
        <xdr:sp macro="" textlink="">
          <xdr:nvSpPr>
            <xdr:cNvPr id="13315" name="CommandButton21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419100</xdr:colOff>
          <xdr:row>3</xdr:row>
          <xdr:rowOff>123825</xdr:rowOff>
        </xdr:from>
        <xdr:to>
          <xdr:col>16</xdr:col>
          <xdr:colOff>9525</xdr:colOff>
          <xdr:row>5</xdr:row>
          <xdr:rowOff>47625</xdr:rowOff>
        </xdr:to>
        <xdr:sp macro="" textlink="">
          <xdr:nvSpPr>
            <xdr:cNvPr id="13316" name="CommandButton22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15</xdr:col>
      <xdr:colOff>628649</xdr:colOff>
      <xdr:row>15</xdr:row>
      <xdr:rowOff>14286</xdr:rowOff>
    </xdr:from>
    <xdr:to>
      <xdr:col>26</xdr:col>
      <xdr:colOff>190499</xdr:colOff>
      <xdr:row>33</xdr:row>
      <xdr:rowOff>190499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85725</xdr:rowOff>
    </xdr:from>
    <xdr:to>
      <xdr:col>2</xdr:col>
      <xdr:colOff>590550</xdr:colOff>
      <xdr:row>16</xdr:row>
      <xdr:rowOff>133350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jogador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jogad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6572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Esta forma representa uma segmentação de dados. As segmentações de dados são suportadas no Excel 2010 ou superior.
Se a forma tiver sido modificada numa versão anterior do Excel, ou se o livro tiver sido guardado no Excel 2003 ou anterior, a segmentação de dados não poderá ser utilizada.</a:t>
              </a:r>
            </a:p>
          </xdr:txBody>
        </xdr:sp>
      </mc:Fallback>
    </mc:AlternateContent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595312</xdr:colOff>
      <xdr:row>5</xdr:row>
      <xdr:rowOff>4762</xdr:rowOff>
    </xdr:from>
    <xdr:to>
      <xdr:col>16</xdr:col>
      <xdr:colOff>219075</xdr:colOff>
      <xdr:row>22</xdr:row>
      <xdr:rowOff>19050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590550</xdr:colOff>
      <xdr:row>4</xdr:row>
      <xdr:rowOff>47625</xdr:rowOff>
    </xdr:from>
    <xdr:to>
      <xdr:col>19</xdr:col>
      <xdr:colOff>590550</xdr:colOff>
      <xdr:row>17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Jogador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Jogador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591550" y="8096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Esta forma representa uma segmentação de dados. As segmentações de dados são suportadas no Excel 2010 ou superior.
Se a forma tiver sido modificada numa versão anterior do Excel, ou se o livro tiver sido guardado no Excel 2003 ou anterior, a segmentação de dados não poderá ser utilizada.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na" refreshedDate="42024.558635300928" createdVersion="5" refreshedVersion="5" minRefreshableVersion="3" recordCount="13">
  <cacheSource type="worksheet">
    <worksheetSource ref="R1:X14" sheet="Dados"/>
  </cacheSource>
  <cacheFields count="8">
    <cacheField name="jogador" numFmtId="22">
      <sharedItems containsDate="1" containsMixedTypes="1" minDate="2015-03-01T11:48:49" maxDate="2015-11-01T11:48:49" count="13">
        <s v="1/16/2015 1:34:32 PM"/>
        <d v="2015-03-01T11:48:49"/>
        <d v="2015-11-01T11:48:49"/>
        <s v="1/20/2015 11:48:49 AM"/>
        <d v="2015-10-01T11:48:49"/>
        <s v="1/19/2015 11:48:49 AM"/>
        <s v="1/16/2015 10:34:34 AM"/>
        <s v="1/16/2015 10:13:34 AM"/>
        <s v="1/16/2015 10:06:08 AM"/>
        <s v="1/18/2015 11:48:49 AM"/>
        <s v="1/17/2015 11:48:49 AM"/>
        <s v="1/15/2015 11:48:49 AM"/>
        <s v="Média"/>
      </sharedItems>
    </cacheField>
    <cacheField name="nivel0" numFmtId="0">
      <sharedItems containsSemiMixedTypes="0" containsString="0" containsNumber="1" minValue="10" maxValue="30" count="4">
        <n v="10"/>
        <n v="30"/>
        <n v="20"/>
        <n v="26.666666666666668"/>
      </sharedItems>
    </cacheField>
    <cacheField name="nivel1" numFmtId="0">
      <sharedItems containsSemiMixedTypes="0" containsString="0" containsNumber="1" minValue="35" maxValue="60" count="5">
        <n v="35"/>
        <n v="55"/>
        <n v="45"/>
        <n v="60"/>
        <n v="52.083333333333336"/>
      </sharedItems>
    </cacheField>
    <cacheField name="nivel2" numFmtId="0">
      <sharedItems containsSemiMixedTypes="0" containsString="0" containsNumber="1" minValue="95" maxValue="120"/>
    </cacheField>
    <cacheField name="nivel3" numFmtId="0">
      <sharedItems containsSemiMixedTypes="0" containsString="0" containsNumber="1" minValue="185" maxValue="200"/>
    </cacheField>
    <cacheField name="nivel4" numFmtId="0">
      <sharedItems containsSemiMixedTypes="0" containsString="0" containsNumber="1" minValue="295" maxValue="320"/>
    </cacheField>
    <cacheField name="nivel5" numFmtId="0">
      <sharedItems containsSemiMixedTypes="0" containsString="0" containsNumber="1" minValue="440" maxValue="470" count="6">
        <n v="445"/>
        <n v="470"/>
        <n v="455"/>
        <n v="440"/>
        <n v="450"/>
        <n v="462.5"/>
      </sharedItems>
    </cacheField>
    <cacheField name="Campo1" numFmtId="0" formula="jogador" databaseField="0"/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na" refreshedDate="42024.558636226851" createdVersion="5" refreshedVersion="5" minRefreshableVersion="3" recordCount="72">
  <cacheSource type="worksheet">
    <worksheetSource ref="A1:L73" sheet="Dados"/>
  </cacheSource>
  <cacheFields count="12">
    <cacheField name="Jogador" numFmtId="22">
      <sharedItems containsDate="1" containsBlank="1" containsMixedTypes="1" minDate="2015-03-01T11:48:49" maxDate="2015-11-01T11:48:49" count="16">
        <s v="1/15/2015 11:48:49 AM"/>
        <s v="1/17/2015 11:48:49 AM"/>
        <s v="1/18/2015 11:48:49 AM"/>
        <s v="1/16/2015 10:06:08 AM"/>
        <s v="1/16/2015 10:13:34 AM"/>
        <s v="1/16/2015 10:34:34 AM"/>
        <s v="1/19/2015 11:48:49 AM"/>
        <d v="2015-10-01T11:48:49"/>
        <s v="1/20/2015 11:48:49 AM"/>
        <d v="2015-11-01T11:48:49"/>
        <d v="2015-03-01T11:48:49"/>
        <s v="1/16/2015 1:34:32 PM"/>
        <m u="1"/>
        <d v="2015-08-01T10:06:08" u="1"/>
        <s v="1/16/2015 11:16:28 AM" u="1"/>
        <d v="2015-05-01T11:48:49" u="1"/>
      </sharedItems>
    </cacheField>
    <cacheField name="idd" numFmtId="0">
      <sharedItems containsSemiMixedTypes="0" containsString="0" containsNumber="1" containsInteger="1" minValue="7" maxValue="10"/>
    </cacheField>
    <cacheField name="sexo" numFmtId="0">
      <sharedItems/>
    </cacheField>
    <cacheField name="escolaridade" numFmtId="0">
      <sharedItems/>
    </cacheField>
    <cacheField name="maus" numFmtId="0">
      <sharedItems containsSemiMixedTypes="0" containsString="0" containsNumber="1" containsInteger="1" minValue="0" maxValue="4"/>
    </cacheField>
    <cacheField name="bons" numFmtId="0">
      <sharedItems containsSemiMixedTypes="0" containsString="0" containsNumber="1" containsInteger="1" minValue="3" maxValue="15"/>
    </cacheField>
    <cacheField name="tempo" numFmtId="0">
      <sharedItems containsSemiMixedTypes="0" containsString="0" containsNumber="1" containsInteger="1" minValue="8" maxValue="138"/>
    </cacheField>
    <cacheField name="vida" numFmtId="0">
      <sharedItems containsSemiMixedTypes="0" containsString="0" containsNumber="1" containsInteger="1" minValue="2" maxValue="3"/>
    </cacheField>
    <cacheField name="nivel" numFmtId="0">
      <sharedItems containsSemiMixedTypes="0" containsString="0" containsNumber="1" containsInteger="1" minValue="0" maxValue="5" count="6">
        <n v="0"/>
        <n v="1"/>
        <n v="2"/>
        <n v="3"/>
        <n v="4"/>
        <n v="5"/>
      </sharedItems>
    </cacheField>
    <cacheField name="pontos" numFmtId="0">
      <sharedItems containsSemiMixedTypes="0" containsString="0" containsNumber="1" containsInteger="1" minValue="10" maxValue="470"/>
    </cacheField>
    <cacheField name="insist" numFmtId="0">
      <sharedItems containsSemiMixedTypes="0" containsString="0" containsNumber="1" containsInteger="1" minValue="0" maxValue="14"/>
    </cacheField>
    <cacheField name="final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Ana" refreshedDate="42024.558636458336" createdVersion="5" refreshedVersion="5" minRefreshableVersion="3" recordCount="114">
  <cacheSource type="worksheet">
    <worksheetSource ref="A1:M1048576" sheet="Dados"/>
  </cacheSource>
  <cacheFields count="13">
    <cacheField name="Jogador" numFmtId="0">
      <sharedItems containsDate="1" containsBlank="1" containsMixedTypes="1" minDate="2015-03-01T11:48:49" maxDate="2015-11-01T11:48:49" count="14">
        <s v="1/15/2015 11:48:49 AM"/>
        <s v="1/17/2015 11:48:49 AM"/>
        <s v="1/18/2015 11:48:49 AM"/>
        <s v="1/16/2015 10:06:08 AM"/>
        <s v="1/16/2015 10:13:34 AM"/>
        <s v="1/16/2015 10:34:34 AM"/>
        <s v="1/19/2015 11:48:49 AM"/>
        <d v="2015-10-01T11:48:49"/>
        <s v="1/20/2015 11:48:49 AM"/>
        <d v="2015-11-01T11:48:49"/>
        <d v="2015-03-01T11:48:49"/>
        <s v="1/16/2015 1:34:32 PM"/>
        <m/>
        <d v="2015-05-01T11:48:49" u="1"/>
      </sharedItems>
    </cacheField>
    <cacheField name="idd" numFmtId="0">
      <sharedItems containsString="0" containsBlank="1" containsNumber="1" containsInteger="1" minValue="7" maxValue="10" count="4">
        <n v="9"/>
        <n v="10"/>
        <n v="7"/>
        <m/>
      </sharedItems>
    </cacheField>
    <cacheField name="sexo" numFmtId="0">
      <sharedItems containsBlank="1" count="3">
        <s v=" Masculino"/>
        <s v=" Feminino"/>
        <m/>
      </sharedItems>
    </cacheField>
    <cacheField name="escolaridade" numFmtId="0">
      <sharedItems containsBlank="1"/>
    </cacheField>
    <cacheField name="maus" numFmtId="0">
      <sharedItems containsString="0" containsBlank="1" containsNumber="1" containsInteger="1" minValue="0" maxValue="4"/>
    </cacheField>
    <cacheField name="bons" numFmtId="0">
      <sharedItems containsString="0" containsBlank="1" containsNumber="1" containsInteger="1" minValue="3" maxValue="15"/>
    </cacheField>
    <cacheField name="tempo" numFmtId="0">
      <sharedItems containsString="0" containsBlank="1" containsNumber="1" containsInteger="1" minValue="8" maxValue="138"/>
    </cacheField>
    <cacheField name="vida" numFmtId="0">
      <sharedItems containsString="0" containsBlank="1" containsNumber="1" containsInteger="1" minValue="2" maxValue="3"/>
    </cacheField>
    <cacheField name="nivel" numFmtId="0">
      <sharedItems containsString="0" containsBlank="1" containsNumber="1" containsInteger="1" minValue="0" maxValue="5" count="7">
        <n v="0"/>
        <n v="1"/>
        <n v="2"/>
        <n v="3"/>
        <n v="4"/>
        <n v="5"/>
        <m/>
      </sharedItems>
    </cacheField>
    <cacheField name="pontos" numFmtId="0">
      <sharedItems containsString="0" containsBlank="1" containsNumber="1" containsInteger="1" minValue="10" maxValue="470"/>
    </cacheField>
    <cacheField name="insist" numFmtId="0">
      <sharedItems containsString="0" containsBlank="1" containsNumber="1" containsInteger="1" minValue="0" maxValue="14"/>
    </cacheField>
    <cacheField name="final" numFmtId="0">
      <sharedItems containsBlank="1"/>
    </cacheField>
    <cacheField name="vidasGastas" numFmtId="0">
      <sharedItems containsString="0" containsBlank="1" containsNumber="1" containsInteger="1" minValue="0" maxValue="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Ana" refreshedDate="42024.579513310186" createdVersion="5" refreshedVersion="5" minRefreshableVersion="3" recordCount="13">
  <cacheSource type="worksheet">
    <worksheetSource ref="B3:H16" sheet="Folha3"/>
  </cacheSource>
  <cacheFields count="7">
    <cacheField name="Jogador" numFmtId="0">
      <sharedItems count="12">
        <s v="j1"/>
        <s v="j2"/>
        <s v="j3"/>
        <s v="j4"/>
        <s v="j5"/>
        <s v="j6"/>
        <s v="j7"/>
        <s v="j8"/>
        <s v="j9"/>
        <s v="j10"/>
        <s v="j11"/>
        <s v="Média"/>
      </sharedItems>
    </cacheField>
    <cacheField name="N1" numFmtId="0">
      <sharedItems containsSemiMixedTypes="0" containsString="0" containsNumber="1" minValue="10" maxValue="30" count="4">
        <n v="10"/>
        <n v="30"/>
        <n v="20"/>
        <n v="26.666666666666668"/>
      </sharedItems>
    </cacheField>
    <cacheField name="N2" numFmtId="0">
      <sharedItems containsSemiMixedTypes="0" containsString="0" containsNumber="1" minValue="35" maxValue="60" count="5">
        <n v="35"/>
        <n v="55"/>
        <n v="45"/>
        <n v="60"/>
        <n v="52.083333333333336"/>
      </sharedItems>
    </cacheField>
    <cacheField name="N3" numFmtId="0">
      <sharedItems containsSemiMixedTypes="0" containsString="0" containsNumber="1" minValue="95" maxValue="120" count="6">
        <n v="95"/>
        <n v="110"/>
        <n v="105"/>
        <n v="120"/>
        <n v="100"/>
        <n v="108.33333333333333"/>
      </sharedItems>
    </cacheField>
    <cacheField name="N4" numFmtId="0">
      <sharedItems containsSemiMixedTypes="0" containsString="0" containsNumber="1" minValue="185" maxValue="200"/>
    </cacheField>
    <cacheField name="N5" numFmtId="0">
      <sharedItems containsSemiMixedTypes="0" containsString="0" containsNumber="1" minValue="295" maxValue="320"/>
    </cacheField>
    <cacheField name="N6" numFmtId="0">
      <sharedItems containsSemiMixedTypes="0" containsString="0" containsNumber="1" minValue="440" maxValue="470"/>
    </cacheField>
  </cacheFields>
  <extLst>
    <ext xmlns:x14="http://schemas.microsoft.com/office/spreadsheetml/2009/9/main" uri="{725AE2AE-9491-48be-B2B4-4EB974FC3084}">
      <x14:pivotCacheDefinition pivotCacheId="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3">
  <r>
    <x v="0"/>
    <x v="0"/>
    <x v="0"/>
    <n v="95"/>
    <n v="185"/>
    <n v="295"/>
    <x v="0"/>
  </r>
  <r>
    <x v="1"/>
    <x v="1"/>
    <x v="1"/>
    <n v="110"/>
    <n v="200"/>
    <n v="320"/>
    <x v="1"/>
  </r>
  <r>
    <x v="2"/>
    <x v="1"/>
    <x v="1"/>
    <n v="110"/>
    <n v="200"/>
    <n v="320"/>
    <x v="1"/>
  </r>
  <r>
    <x v="3"/>
    <x v="1"/>
    <x v="1"/>
    <n v="110"/>
    <n v="200"/>
    <n v="320"/>
    <x v="1"/>
  </r>
  <r>
    <x v="4"/>
    <x v="1"/>
    <x v="1"/>
    <n v="110"/>
    <n v="200"/>
    <n v="320"/>
    <x v="1"/>
  </r>
  <r>
    <x v="5"/>
    <x v="1"/>
    <x v="1"/>
    <n v="110"/>
    <n v="200"/>
    <n v="320"/>
    <x v="1"/>
  </r>
  <r>
    <x v="6"/>
    <x v="2"/>
    <x v="2"/>
    <n v="105"/>
    <n v="195"/>
    <n v="310"/>
    <x v="2"/>
  </r>
  <r>
    <x v="7"/>
    <x v="1"/>
    <x v="3"/>
    <n v="120"/>
    <n v="200"/>
    <n v="305"/>
    <x v="3"/>
  </r>
  <r>
    <x v="8"/>
    <x v="2"/>
    <x v="2"/>
    <n v="100"/>
    <n v="190"/>
    <n v="305"/>
    <x v="4"/>
  </r>
  <r>
    <x v="9"/>
    <x v="1"/>
    <x v="1"/>
    <n v="110"/>
    <n v="200"/>
    <n v="320"/>
    <x v="1"/>
  </r>
  <r>
    <x v="10"/>
    <x v="1"/>
    <x v="1"/>
    <n v="110"/>
    <n v="200"/>
    <n v="320"/>
    <x v="1"/>
  </r>
  <r>
    <x v="11"/>
    <x v="1"/>
    <x v="1"/>
    <n v="110"/>
    <n v="200"/>
    <n v="320"/>
    <x v="1"/>
  </r>
  <r>
    <x v="12"/>
    <x v="3"/>
    <x v="4"/>
    <n v="108.33333333333333"/>
    <n v="197.5"/>
    <n v="314.58333333333331"/>
    <x v="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2">
  <r>
    <x v="0"/>
    <n v="9"/>
    <s v=" Masculino"/>
    <s v=" Quarto Ano"/>
    <n v="0"/>
    <n v="3"/>
    <n v="9"/>
    <n v="3"/>
    <x v="0"/>
    <n v="30"/>
    <n v="0"/>
    <s v=" Não"/>
  </r>
  <r>
    <x v="0"/>
    <n v="9"/>
    <s v=" Masculino"/>
    <s v=" Quarto Ano"/>
    <n v="1"/>
    <n v="3"/>
    <n v="22"/>
    <n v="3"/>
    <x v="1"/>
    <n v="55"/>
    <n v="0"/>
    <s v=" Nao"/>
  </r>
  <r>
    <x v="0"/>
    <n v="9"/>
    <s v=" Masculino"/>
    <s v=" Quarto Ano"/>
    <n v="1"/>
    <n v="6"/>
    <n v="40"/>
    <n v="3"/>
    <x v="2"/>
    <n v="110"/>
    <n v="0"/>
    <s v=" Nao"/>
  </r>
  <r>
    <x v="0"/>
    <n v="9"/>
    <s v=" Masculino"/>
    <s v=" Quarto Ano"/>
    <n v="0"/>
    <n v="9"/>
    <n v="59"/>
    <n v="3"/>
    <x v="3"/>
    <n v="200"/>
    <n v="0"/>
    <s v=" Nao"/>
  </r>
  <r>
    <x v="0"/>
    <n v="9"/>
    <s v=" Masculino"/>
    <s v=" Quarto Ano"/>
    <n v="0"/>
    <n v="12"/>
    <n v="100"/>
    <n v="3"/>
    <x v="4"/>
    <n v="320"/>
    <n v="0"/>
    <s v=" Nao"/>
  </r>
  <r>
    <x v="0"/>
    <n v="9"/>
    <s v=" Masculino"/>
    <s v=" Quarto Ano"/>
    <n v="0"/>
    <n v="15"/>
    <n v="120"/>
    <n v="3"/>
    <x v="5"/>
    <n v="470"/>
    <n v="0"/>
    <s v=" Sim"/>
  </r>
  <r>
    <x v="1"/>
    <n v="9"/>
    <s v=" Masculino"/>
    <s v=" Quarto Ano"/>
    <n v="0"/>
    <n v="3"/>
    <n v="9"/>
    <n v="3"/>
    <x v="0"/>
    <n v="30"/>
    <n v="0"/>
    <s v=" Não"/>
  </r>
  <r>
    <x v="1"/>
    <n v="9"/>
    <s v=" Masculino"/>
    <s v=" Quarto Ano"/>
    <n v="1"/>
    <n v="3"/>
    <n v="22"/>
    <n v="3"/>
    <x v="1"/>
    <n v="55"/>
    <n v="0"/>
    <s v=" Nao"/>
  </r>
  <r>
    <x v="1"/>
    <n v="9"/>
    <s v=" Masculino"/>
    <s v=" Quarto Ano"/>
    <n v="1"/>
    <n v="6"/>
    <n v="40"/>
    <n v="3"/>
    <x v="2"/>
    <n v="110"/>
    <n v="0"/>
    <s v=" Nao"/>
  </r>
  <r>
    <x v="1"/>
    <n v="9"/>
    <s v=" Masculino"/>
    <s v=" Quarto Ano"/>
    <n v="0"/>
    <n v="9"/>
    <n v="59"/>
    <n v="3"/>
    <x v="3"/>
    <n v="200"/>
    <n v="0"/>
    <s v=" Nao"/>
  </r>
  <r>
    <x v="1"/>
    <n v="9"/>
    <s v=" Masculino"/>
    <s v=" Quarto Ano"/>
    <n v="0"/>
    <n v="12"/>
    <n v="100"/>
    <n v="3"/>
    <x v="4"/>
    <n v="320"/>
    <n v="0"/>
    <s v=" Nao"/>
  </r>
  <r>
    <x v="1"/>
    <n v="9"/>
    <s v=" Masculino"/>
    <s v=" Quarto Ano"/>
    <n v="0"/>
    <n v="15"/>
    <n v="120"/>
    <n v="3"/>
    <x v="5"/>
    <n v="470"/>
    <n v="0"/>
    <s v=" Sim"/>
  </r>
  <r>
    <x v="2"/>
    <n v="9"/>
    <s v=" Masculino"/>
    <s v=" Quarto Ano"/>
    <n v="0"/>
    <n v="3"/>
    <n v="9"/>
    <n v="3"/>
    <x v="0"/>
    <n v="30"/>
    <n v="0"/>
    <s v=" Não"/>
  </r>
  <r>
    <x v="2"/>
    <n v="9"/>
    <s v=" Masculino"/>
    <s v=" Quarto Ano"/>
    <n v="1"/>
    <n v="3"/>
    <n v="22"/>
    <n v="3"/>
    <x v="1"/>
    <n v="55"/>
    <n v="0"/>
    <s v=" Nao"/>
  </r>
  <r>
    <x v="2"/>
    <n v="9"/>
    <s v=" Masculino"/>
    <s v=" Quarto Ano"/>
    <n v="1"/>
    <n v="6"/>
    <n v="40"/>
    <n v="3"/>
    <x v="2"/>
    <n v="110"/>
    <n v="0"/>
    <s v=" Nao"/>
  </r>
  <r>
    <x v="2"/>
    <n v="9"/>
    <s v=" Masculino"/>
    <s v=" Quarto Ano"/>
    <n v="0"/>
    <n v="9"/>
    <n v="59"/>
    <n v="3"/>
    <x v="3"/>
    <n v="200"/>
    <n v="0"/>
    <s v=" Nao"/>
  </r>
  <r>
    <x v="2"/>
    <n v="9"/>
    <s v=" Masculino"/>
    <s v=" Quarto Ano"/>
    <n v="0"/>
    <n v="12"/>
    <n v="100"/>
    <n v="3"/>
    <x v="4"/>
    <n v="320"/>
    <n v="0"/>
    <s v=" Nao"/>
  </r>
  <r>
    <x v="2"/>
    <n v="9"/>
    <s v=" Masculino"/>
    <s v=" Quarto Ano"/>
    <n v="0"/>
    <n v="15"/>
    <n v="120"/>
    <n v="3"/>
    <x v="5"/>
    <n v="470"/>
    <n v="0"/>
    <s v=" Sim"/>
  </r>
  <r>
    <x v="3"/>
    <n v="10"/>
    <s v=" Masculino"/>
    <s v=" Terceiro Ano"/>
    <n v="2"/>
    <n v="3"/>
    <n v="10"/>
    <n v="3"/>
    <x v="0"/>
    <n v="20"/>
    <n v="0"/>
    <s v=" Nao"/>
  </r>
  <r>
    <x v="3"/>
    <n v="10"/>
    <s v=" Masculino"/>
    <s v=" Terceiro Ano"/>
    <n v="1"/>
    <n v="3"/>
    <n v="20"/>
    <n v="3"/>
    <x v="1"/>
    <n v="45"/>
    <n v="0"/>
    <s v=" Nao"/>
  </r>
  <r>
    <x v="3"/>
    <n v="10"/>
    <s v=" Masculino"/>
    <s v=" Terceiro Ano"/>
    <n v="1"/>
    <n v="6"/>
    <n v="40"/>
    <n v="3"/>
    <x v="2"/>
    <n v="100"/>
    <n v="0"/>
    <s v=" Nao"/>
  </r>
  <r>
    <x v="3"/>
    <n v="10"/>
    <s v=" Masculino"/>
    <s v=" Terceiro Ano"/>
    <n v="0"/>
    <n v="9"/>
    <n v="60"/>
    <n v="3"/>
    <x v="3"/>
    <n v="190"/>
    <n v="0"/>
    <s v=" Nao"/>
  </r>
  <r>
    <x v="3"/>
    <n v="10"/>
    <s v=" Masculino"/>
    <s v=" Terceiro Ano"/>
    <n v="1"/>
    <n v="12"/>
    <n v="105"/>
    <n v="3"/>
    <x v="4"/>
    <n v="305"/>
    <n v="0"/>
    <s v=" Nao"/>
  </r>
  <r>
    <x v="3"/>
    <n v="10"/>
    <s v=" Masculino"/>
    <s v=" Terceiro Ano"/>
    <n v="1"/>
    <n v="15"/>
    <n v="138"/>
    <n v="3"/>
    <x v="5"/>
    <n v="450"/>
    <n v="0"/>
    <s v=" Sim"/>
  </r>
  <r>
    <x v="4"/>
    <n v="10"/>
    <s v=" Feminino"/>
    <s v=" Sexto Ano"/>
    <n v="0"/>
    <n v="3"/>
    <n v="12"/>
    <n v="3"/>
    <x v="0"/>
    <n v="30"/>
    <n v="0"/>
    <s v=" Nao"/>
  </r>
  <r>
    <x v="4"/>
    <n v="10"/>
    <s v=" Feminino"/>
    <s v=" Sexto Ano"/>
    <n v="0"/>
    <n v="3"/>
    <n v="25"/>
    <n v="3"/>
    <x v="1"/>
    <n v="60"/>
    <n v="0"/>
    <s v=" Nao"/>
  </r>
  <r>
    <x v="4"/>
    <n v="10"/>
    <s v=" Feminino"/>
    <s v=" Sexto Ano"/>
    <n v="0"/>
    <n v="6"/>
    <n v="43"/>
    <n v="3"/>
    <x v="2"/>
    <n v="120"/>
    <n v="0"/>
    <s v=" Nao"/>
  </r>
  <r>
    <x v="4"/>
    <n v="10"/>
    <s v=" Feminino"/>
    <s v=" Sexto Ano"/>
    <n v="2"/>
    <n v="9"/>
    <n v="60"/>
    <n v="2"/>
    <x v="3"/>
    <n v="200"/>
    <n v="4"/>
    <s v=" Nao"/>
  </r>
  <r>
    <x v="4"/>
    <n v="10"/>
    <s v=" Feminino"/>
    <s v=" Sexto Ano"/>
    <n v="3"/>
    <n v="12"/>
    <n v="99"/>
    <n v="2"/>
    <x v="4"/>
    <n v="305"/>
    <n v="2"/>
    <s v=" Nao"/>
  </r>
  <r>
    <x v="4"/>
    <n v="10"/>
    <s v=" Feminino"/>
    <s v=" Sexto Ano"/>
    <n v="3"/>
    <n v="15"/>
    <n v="120"/>
    <n v="2"/>
    <x v="5"/>
    <n v="440"/>
    <n v="2"/>
    <s v=" Sim"/>
  </r>
  <r>
    <x v="5"/>
    <n v="7"/>
    <s v=" Feminino"/>
    <s v=" Segundo Ano"/>
    <n v="2"/>
    <n v="3"/>
    <n v="8"/>
    <n v="3"/>
    <x v="0"/>
    <n v="20"/>
    <n v="0"/>
    <s v=" Nao"/>
  </r>
  <r>
    <x v="5"/>
    <n v="7"/>
    <s v=" Feminino"/>
    <s v=" Segundo Ano"/>
    <n v="1"/>
    <n v="3"/>
    <n v="15"/>
    <n v="3"/>
    <x v="1"/>
    <n v="45"/>
    <n v="0"/>
    <s v=" Nao"/>
  </r>
  <r>
    <x v="5"/>
    <n v="7"/>
    <s v=" Feminino"/>
    <s v=" Segundo Ano"/>
    <n v="0"/>
    <n v="6"/>
    <n v="40"/>
    <n v="3"/>
    <x v="2"/>
    <n v="105"/>
    <n v="0"/>
    <s v=" Nao"/>
  </r>
  <r>
    <x v="5"/>
    <n v="7"/>
    <s v=" Feminino"/>
    <s v=" Segundo Ano"/>
    <n v="0"/>
    <n v="9"/>
    <n v="59"/>
    <n v="3"/>
    <x v="3"/>
    <n v="195"/>
    <n v="0"/>
    <s v=" Nao"/>
  </r>
  <r>
    <x v="5"/>
    <n v="7"/>
    <s v=" Feminino"/>
    <s v=" Segundo Ano"/>
    <n v="1"/>
    <n v="12"/>
    <n v="113"/>
    <n v="3"/>
    <x v="4"/>
    <n v="310"/>
    <n v="7"/>
    <s v=" Nao"/>
  </r>
  <r>
    <x v="5"/>
    <n v="7"/>
    <s v=" Feminino"/>
    <s v=" Segundo Ano"/>
    <n v="1"/>
    <n v="15"/>
    <n v="120"/>
    <n v="3"/>
    <x v="5"/>
    <n v="455"/>
    <n v="1"/>
    <s v=" Sim"/>
  </r>
  <r>
    <x v="6"/>
    <n v="9"/>
    <s v=" Masculino"/>
    <s v=" Quarto Ano"/>
    <n v="0"/>
    <n v="3"/>
    <n v="9"/>
    <n v="3"/>
    <x v="0"/>
    <n v="30"/>
    <n v="0"/>
    <s v=" Não"/>
  </r>
  <r>
    <x v="6"/>
    <n v="9"/>
    <s v=" Masculino"/>
    <s v=" Quarto Ano"/>
    <n v="1"/>
    <n v="3"/>
    <n v="22"/>
    <n v="3"/>
    <x v="1"/>
    <n v="55"/>
    <n v="0"/>
    <s v=" Nao"/>
  </r>
  <r>
    <x v="6"/>
    <n v="9"/>
    <s v=" Masculino"/>
    <s v=" Quarto Ano"/>
    <n v="1"/>
    <n v="6"/>
    <n v="40"/>
    <n v="3"/>
    <x v="2"/>
    <n v="110"/>
    <n v="0"/>
    <s v=" Nao"/>
  </r>
  <r>
    <x v="6"/>
    <n v="9"/>
    <s v=" Masculino"/>
    <s v=" Quarto Ano"/>
    <n v="0"/>
    <n v="9"/>
    <n v="59"/>
    <n v="3"/>
    <x v="3"/>
    <n v="200"/>
    <n v="0"/>
    <s v=" Nao"/>
  </r>
  <r>
    <x v="6"/>
    <n v="9"/>
    <s v=" Masculino"/>
    <s v=" Quarto Ano"/>
    <n v="0"/>
    <n v="12"/>
    <n v="100"/>
    <n v="3"/>
    <x v="4"/>
    <n v="320"/>
    <n v="0"/>
    <s v=" Nao"/>
  </r>
  <r>
    <x v="6"/>
    <n v="9"/>
    <s v=" Masculino"/>
    <s v=" Quarto Ano"/>
    <n v="0"/>
    <n v="15"/>
    <n v="120"/>
    <n v="3"/>
    <x v="5"/>
    <n v="470"/>
    <n v="0"/>
    <s v=" Sim"/>
  </r>
  <r>
    <x v="7"/>
    <n v="9"/>
    <s v=" Masculino"/>
    <s v=" Quarto Ano"/>
    <n v="0"/>
    <n v="3"/>
    <n v="9"/>
    <n v="3"/>
    <x v="0"/>
    <n v="30"/>
    <n v="0"/>
    <s v=" Não"/>
  </r>
  <r>
    <x v="7"/>
    <n v="9"/>
    <s v=" Masculino"/>
    <s v=" Quarto Ano"/>
    <n v="1"/>
    <n v="3"/>
    <n v="22"/>
    <n v="3"/>
    <x v="1"/>
    <n v="55"/>
    <n v="0"/>
    <s v=" Nao"/>
  </r>
  <r>
    <x v="7"/>
    <n v="9"/>
    <s v=" Masculino"/>
    <s v=" Quarto Ano"/>
    <n v="1"/>
    <n v="6"/>
    <n v="40"/>
    <n v="3"/>
    <x v="2"/>
    <n v="110"/>
    <n v="0"/>
    <s v=" Nao"/>
  </r>
  <r>
    <x v="7"/>
    <n v="9"/>
    <s v=" Masculino"/>
    <s v=" Quarto Ano"/>
    <n v="0"/>
    <n v="9"/>
    <n v="59"/>
    <n v="3"/>
    <x v="3"/>
    <n v="200"/>
    <n v="0"/>
    <s v=" Nao"/>
  </r>
  <r>
    <x v="7"/>
    <n v="9"/>
    <s v=" Masculino"/>
    <s v=" Quarto Ano"/>
    <n v="0"/>
    <n v="12"/>
    <n v="100"/>
    <n v="3"/>
    <x v="4"/>
    <n v="320"/>
    <n v="0"/>
    <s v=" Nao"/>
  </r>
  <r>
    <x v="7"/>
    <n v="9"/>
    <s v=" Masculino"/>
    <s v=" Quarto Ano"/>
    <n v="0"/>
    <n v="15"/>
    <n v="120"/>
    <n v="3"/>
    <x v="5"/>
    <n v="470"/>
    <n v="0"/>
    <s v=" Sim"/>
  </r>
  <r>
    <x v="8"/>
    <n v="9"/>
    <s v=" Masculino"/>
    <s v=" Quarto Ano"/>
    <n v="0"/>
    <n v="3"/>
    <n v="9"/>
    <n v="3"/>
    <x v="0"/>
    <n v="30"/>
    <n v="0"/>
    <s v=" Não"/>
  </r>
  <r>
    <x v="8"/>
    <n v="9"/>
    <s v=" Masculino"/>
    <s v=" Quarto Ano"/>
    <n v="1"/>
    <n v="3"/>
    <n v="22"/>
    <n v="3"/>
    <x v="1"/>
    <n v="55"/>
    <n v="0"/>
    <s v=" Nao"/>
  </r>
  <r>
    <x v="8"/>
    <n v="9"/>
    <s v=" Masculino"/>
    <s v=" Quarto Ano"/>
    <n v="1"/>
    <n v="6"/>
    <n v="40"/>
    <n v="3"/>
    <x v="2"/>
    <n v="110"/>
    <n v="0"/>
    <s v=" Nao"/>
  </r>
  <r>
    <x v="8"/>
    <n v="9"/>
    <s v=" Masculino"/>
    <s v=" Quarto Ano"/>
    <n v="0"/>
    <n v="9"/>
    <n v="59"/>
    <n v="3"/>
    <x v="3"/>
    <n v="200"/>
    <n v="0"/>
    <s v=" Nao"/>
  </r>
  <r>
    <x v="8"/>
    <n v="9"/>
    <s v=" Masculino"/>
    <s v=" Quarto Ano"/>
    <n v="0"/>
    <n v="12"/>
    <n v="100"/>
    <n v="3"/>
    <x v="4"/>
    <n v="320"/>
    <n v="0"/>
    <s v=" Nao"/>
  </r>
  <r>
    <x v="8"/>
    <n v="9"/>
    <s v=" Masculino"/>
    <s v=" Quarto Ano"/>
    <n v="0"/>
    <n v="15"/>
    <n v="120"/>
    <n v="3"/>
    <x v="5"/>
    <n v="470"/>
    <n v="2"/>
    <s v=" Sim"/>
  </r>
  <r>
    <x v="9"/>
    <n v="9"/>
    <s v=" Masculino"/>
    <s v=" Quarto Ano"/>
    <n v="0"/>
    <n v="3"/>
    <n v="9"/>
    <n v="3"/>
    <x v="0"/>
    <n v="30"/>
    <n v="0"/>
    <s v=" Não"/>
  </r>
  <r>
    <x v="9"/>
    <n v="9"/>
    <s v=" Masculino"/>
    <s v=" Quarto Ano"/>
    <n v="1"/>
    <n v="3"/>
    <n v="22"/>
    <n v="3"/>
    <x v="1"/>
    <n v="55"/>
    <n v="0"/>
    <s v=" Nao"/>
  </r>
  <r>
    <x v="9"/>
    <n v="9"/>
    <s v=" Masculino"/>
    <s v=" Quarto Ano"/>
    <n v="1"/>
    <n v="6"/>
    <n v="40"/>
    <n v="3"/>
    <x v="2"/>
    <n v="110"/>
    <n v="0"/>
    <s v=" Nao"/>
  </r>
  <r>
    <x v="9"/>
    <n v="9"/>
    <s v=" Masculino"/>
    <s v=" Quarto Ano"/>
    <n v="0"/>
    <n v="9"/>
    <n v="59"/>
    <n v="3"/>
    <x v="3"/>
    <n v="200"/>
    <n v="0"/>
    <s v=" Nao"/>
  </r>
  <r>
    <x v="9"/>
    <n v="9"/>
    <s v=" Masculino"/>
    <s v=" Quarto Ano"/>
    <n v="0"/>
    <n v="12"/>
    <n v="100"/>
    <n v="3"/>
    <x v="4"/>
    <n v="320"/>
    <n v="0"/>
    <s v=" Nao"/>
  </r>
  <r>
    <x v="9"/>
    <n v="9"/>
    <s v=" Masculino"/>
    <s v=" Quarto Ano"/>
    <n v="0"/>
    <n v="15"/>
    <n v="120"/>
    <n v="3"/>
    <x v="5"/>
    <n v="470"/>
    <n v="2"/>
    <s v=" Sim"/>
  </r>
  <r>
    <x v="10"/>
    <n v="9"/>
    <s v=" Masculino"/>
    <s v=" Quarto Ano"/>
    <n v="0"/>
    <n v="3"/>
    <n v="9"/>
    <n v="3"/>
    <x v="0"/>
    <n v="30"/>
    <n v="0"/>
    <s v=" Não"/>
  </r>
  <r>
    <x v="10"/>
    <n v="9"/>
    <s v=" Masculino"/>
    <s v=" Quarto Ano"/>
    <n v="1"/>
    <n v="3"/>
    <n v="22"/>
    <n v="3"/>
    <x v="1"/>
    <n v="55"/>
    <n v="0"/>
    <s v=" Nao"/>
  </r>
  <r>
    <x v="10"/>
    <n v="9"/>
    <s v=" Masculino"/>
    <s v=" Quarto Ano"/>
    <n v="1"/>
    <n v="6"/>
    <n v="40"/>
    <n v="3"/>
    <x v="2"/>
    <n v="110"/>
    <n v="0"/>
    <s v=" Nao"/>
  </r>
  <r>
    <x v="10"/>
    <n v="9"/>
    <s v=" Masculino"/>
    <s v=" Quarto Ano"/>
    <n v="0"/>
    <n v="9"/>
    <n v="59"/>
    <n v="3"/>
    <x v="3"/>
    <n v="200"/>
    <n v="0"/>
    <s v=" Nao"/>
  </r>
  <r>
    <x v="10"/>
    <n v="9"/>
    <s v=" Masculino"/>
    <s v=" Quarto Ano"/>
    <n v="0"/>
    <n v="12"/>
    <n v="100"/>
    <n v="3"/>
    <x v="4"/>
    <n v="320"/>
    <n v="0"/>
    <s v=" Nao"/>
  </r>
  <r>
    <x v="10"/>
    <n v="9"/>
    <s v=" Masculino"/>
    <s v=" Quarto Ano"/>
    <n v="0"/>
    <n v="15"/>
    <n v="120"/>
    <n v="3"/>
    <x v="5"/>
    <n v="470"/>
    <n v="2"/>
    <s v=" Sim"/>
  </r>
  <r>
    <x v="11"/>
    <n v="7"/>
    <s v=" Feminino"/>
    <s v=" Primeiro Ano"/>
    <n v="4"/>
    <n v="3"/>
    <n v="19"/>
    <n v="3"/>
    <x v="0"/>
    <n v="10"/>
    <n v="0"/>
    <s v=" Nao"/>
  </r>
  <r>
    <x v="11"/>
    <n v="7"/>
    <s v=" Feminino"/>
    <s v=" Primeiro Ano"/>
    <n v="1"/>
    <n v="3"/>
    <n v="14"/>
    <n v="3"/>
    <x v="1"/>
    <n v="35"/>
    <n v="0"/>
    <s v=" Nao"/>
  </r>
  <r>
    <x v="11"/>
    <n v="7"/>
    <s v=" Feminino"/>
    <s v=" Primeiro Ano"/>
    <n v="0"/>
    <n v="6"/>
    <n v="44"/>
    <n v="3"/>
    <x v="2"/>
    <n v="95"/>
    <n v="1"/>
    <s v=" Nao"/>
  </r>
  <r>
    <x v="11"/>
    <n v="7"/>
    <s v=" Feminino"/>
    <s v=" Primeiro Ano"/>
    <n v="0"/>
    <n v="9"/>
    <n v="61"/>
    <n v="3"/>
    <x v="3"/>
    <n v="185"/>
    <n v="7"/>
    <s v=" Nao"/>
  </r>
  <r>
    <x v="11"/>
    <n v="7"/>
    <s v=" Feminino"/>
    <s v=" Primeiro Ano"/>
    <n v="2"/>
    <n v="12"/>
    <n v="101"/>
    <n v="2"/>
    <x v="4"/>
    <n v="295"/>
    <n v="9"/>
    <s v=" Nao"/>
  </r>
  <r>
    <x v="11"/>
    <n v="7"/>
    <s v=" Feminino"/>
    <s v=" Primeiro Ano"/>
    <n v="0"/>
    <n v="15"/>
    <n v="128"/>
    <n v="2"/>
    <x v="5"/>
    <n v="445"/>
    <n v="14"/>
    <s v=" Sim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14">
  <r>
    <x v="0"/>
    <x v="0"/>
    <x v="0"/>
    <s v=" Quarto Ano"/>
    <n v="0"/>
    <n v="3"/>
    <n v="9"/>
    <n v="3"/>
    <x v="0"/>
    <n v="30"/>
    <n v="0"/>
    <s v=" Não"/>
    <n v="0"/>
  </r>
  <r>
    <x v="0"/>
    <x v="0"/>
    <x v="0"/>
    <s v=" Quarto Ano"/>
    <n v="1"/>
    <n v="3"/>
    <n v="22"/>
    <n v="3"/>
    <x v="1"/>
    <n v="55"/>
    <n v="0"/>
    <s v=" Nao"/>
    <n v="0"/>
  </r>
  <r>
    <x v="0"/>
    <x v="0"/>
    <x v="0"/>
    <s v=" Quarto Ano"/>
    <n v="1"/>
    <n v="6"/>
    <n v="40"/>
    <n v="3"/>
    <x v="2"/>
    <n v="110"/>
    <n v="0"/>
    <s v=" Nao"/>
    <n v="0"/>
  </r>
  <r>
    <x v="0"/>
    <x v="0"/>
    <x v="0"/>
    <s v=" Quarto Ano"/>
    <n v="0"/>
    <n v="9"/>
    <n v="59"/>
    <n v="3"/>
    <x v="3"/>
    <n v="200"/>
    <n v="0"/>
    <s v=" Nao"/>
    <n v="0"/>
  </r>
  <r>
    <x v="0"/>
    <x v="0"/>
    <x v="0"/>
    <s v=" Quarto Ano"/>
    <n v="0"/>
    <n v="12"/>
    <n v="100"/>
    <n v="3"/>
    <x v="4"/>
    <n v="320"/>
    <n v="0"/>
    <s v=" Nao"/>
    <n v="0"/>
  </r>
  <r>
    <x v="0"/>
    <x v="0"/>
    <x v="0"/>
    <s v=" Quarto Ano"/>
    <n v="0"/>
    <n v="15"/>
    <n v="120"/>
    <n v="3"/>
    <x v="5"/>
    <n v="470"/>
    <n v="0"/>
    <s v=" Sim"/>
    <n v="0"/>
  </r>
  <r>
    <x v="1"/>
    <x v="0"/>
    <x v="0"/>
    <s v=" Quarto Ano"/>
    <n v="0"/>
    <n v="3"/>
    <n v="9"/>
    <n v="3"/>
    <x v="0"/>
    <n v="30"/>
    <n v="0"/>
    <s v=" Não"/>
    <n v="0"/>
  </r>
  <r>
    <x v="1"/>
    <x v="0"/>
    <x v="0"/>
    <s v=" Quarto Ano"/>
    <n v="1"/>
    <n v="3"/>
    <n v="22"/>
    <n v="3"/>
    <x v="1"/>
    <n v="55"/>
    <n v="0"/>
    <s v=" Nao"/>
    <n v="0"/>
  </r>
  <r>
    <x v="1"/>
    <x v="0"/>
    <x v="0"/>
    <s v=" Quarto Ano"/>
    <n v="1"/>
    <n v="6"/>
    <n v="40"/>
    <n v="3"/>
    <x v="2"/>
    <n v="110"/>
    <n v="0"/>
    <s v=" Nao"/>
    <n v="0"/>
  </r>
  <r>
    <x v="1"/>
    <x v="0"/>
    <x v="0"/>
    <s v=" Quarto Ano"/>
    <n v="0"/>
    <n v="9"/>
    <n v="59"/>
    <n v="3"/>
    <x v="3"/>
    <n v="200"/>
    <n v="0"/>
    <s v=" Nao"/>
    <n v="0"/>
  </r>
  <r>
    <x v="1"/>
    <x v="0"/>
    <x v="0"/>
    <s v=" Quarto Ano"/>
    <n v="0"/>
    <n v="12"/>
    <n v="100"/>
    <n v="3"/>
    <x v="4"/>
    <n v="320"/>
    <n v="0"/>
    <s v=" Nao"/>
    <n v="0"/>
  </r>
  <r>
    <x v="1"/>
    <x v="0"/>
    <x v="0"/>
    <s v=" Quarto Ano"/>
    <n v="0"/>
    <n v="15"/>
    <n v="120"/>
    <n v="3"/>
    <x v="5"/>
    <n v="470"/>
    <n v="0"/>
    <s v=" Sim"/>
    <n v="0"/>
  </r>
  <r>
    <x v="2"/>
    <x v="0"/>
    <x v="0"/>
    <s v=" Quarto Ano"/>
    <n v="0"/>
    <n v="3"/>
    <n v="9"/>
    <n v="3"/>
    <x v="0"/>
    <n v="30"/>
    <n v="0"/>
    <s v=" Não"/>
    <n v="0"/>
  </r>
  <r>
    <x v="2"/>
    <x v="0"/>
    <x v="0"/>
    <s v=" Quarto Ano"/>
    <n v="1"/>
    <n v="3"/>
    <n v="22"/>
    <n v="3"/>
    <x v="1"/>
    <n v="55"/>
    <n v="0"/>
    <s v=" Nao"/>
    <n v="0"/>
  </r>
  <r>
    <x v="2"/>
    <x v="0"/>
    <x v="0"/>
    <s v=" Quarto Ano"/>
    <n v="1"/>
    <n v="6"/>
    <n v="40"/>
    <n v="3"/>
    <x v="2"/>
    <n v="110"/>
    <n v="0"/>
    <s v=" Nao"/>
    <n v="0"/>
  </r>
  <r>
    <x v="2"/>
    <x v="0"/>
    <x v="0"/>
    <s v=" Quarto Ano"/>
    <n v="0"/>
    <n v="9"/>
    <n v="59"/>
    <n v="3"/>
    <x v="3"/>
    <n v="200"/>
    <n v="0"/>
    <s v=" Nao"/>
    <n v="0"/>
  </r>
  <r>
    <x v="2"/>
    <x v="0"/>
    <x v="0"/>
    <s v=" Quarto Ano"/>
    <n v="0"/>
    <n v="12"/>
    <n v="100"/>
    <n v="3"/>
    <x v="4"/>
    <n v="320"/>
    <n v="0"/>
    <s v=" Nao"/>
    <n v="0"/>
  </r>
  <r>
    <x v="2"/>
    <x v="0"/>
    <x v="0"/>
    <s v=" Quarto Ano"/>
    <n v="0"/>
    <n v="15"/>
    <n v="120"/>
    <n v="3"/>
    <x v="5"/>
    <n v="470"/>
    <n v="0"/>
    <s v=" Sim"/>
    <n v="0"/>
  </r>
  <r>
    <x v="3"/>
    <x v="1"/>
    <x v="0"/>
    <s v=" Terceiro Ano"/>
    <n v="2"/>
    <n v="3"/>
    <n v="10"/>
    <n v="3"/>
    <x v="0"/>
    <n v="20"/>
    <n v="0"/>
    <s v=" Nao"/>
    <n v="0"/>
  </r>
  <r>
    <x v="3"/>
    <x v="1"/>
    <x v="0"/>
    <s v=" Terceiro Ano"/>
    <n v="1"/>
    <n v="3"/>
    <n v="20"/>
    <n v="3"/>
    <x v="1"/>
    <n v="45"/>
    <n v="0"/>
    <s v=" Nao"/>
    <n v="0"/>
  </r>
  <r>
    <x v="3"/>
    <x v="1"/>
    <x v="0"/>
    <s v=" Terceiro Ano"/>
    <n v="1"/>
    <n v="6"/>
    <n v="40"/>
    <n v="3"/>
    <x v="2"/>
    <n v="100"/>
    <n v="0"/>
    <s v=" Nao"/>
    <n v="0"/>
  </r>
  <r>
    <x v="3"/>
    <x v="1"/>
    <x v="0"/>
    <s v=" Terceiro Ano"/>
    <n v="0"/>
    <n v="9"/>
    <n v="60"/>
    <n v="3"/>
    <x v="3"/>
    <n v="190"/>
    <n v="0"/>
    <s v=" Nao"/>
    <n v="0"/>
  </r>
  <r>
    <x v="3"/>
    <x v="1"/>
    <x v="0"/>
    <s v=" Terceiro Ano"/>
    <n v="1"/>
    <n v="12"/>
    <n v="105"/>
    <n v="3"/>
    <x v="4"/>
    <n v="305"/>
    <n v="0"/>
    <s v=" Nao"/>
    <n v="0"/>
  </r>
  <r>
    <x v="3"/>
    <x v="1"/>
    <x v="0"/>
    <s v=" Terceiro Ano"/>
    <n v="1"/>
    <n v="15"/>
    <n v="138"/>
    <n v="3"/>
    <x v="5"/>
    <n v="450"/>
    <n v="0"/>
    <s v=" Sim"/>
    <n v="0"/>
  </r>
  <r>
    <x v="4"/>
    <x v="1"/>
    <x v="1"/>
    <s v=" Sexto Ano"/>
    <n v="0"/>
    <n v="3"/>
    <n v="12"/>
    <n v="3"/>
    <x v="0"/>
    <n v="30"/>
    <n v="0"/>
    <s v=" Nao"/>
    <n v="0"/>
  </r>
  <r>
    <x v="4"/>
    <x v="1"/>
    <x v="1"/>
    <s v=" Sexto Ano"/>
    <n v="0"/>
    <n v="3"/>
    <n v="25"/>
    <n v="3"/>
    <x v="1"/>
    <n v="60"/>
    <n v="0"/>
    <s v=" Nao"/>
    <n v="0"/>
  </r>
  <r>
    <x v="4"/>
    <x v="1"/>
    <x v="1"/>
    <s v=" Sexto Ano"/>
    <n v="0"/>
    <n v="6"/>
    <n v="43"/>
    <n v="3"/>
    <x v="2"/>
    <n v="120"/>
    <n v="0"/>
    <s v=" Nao"/>
    <n v="0"/>
  </r>
  <r>
    <x v="4"/>
    <x v="1"/>
    <x v="1"/>
    <s v=" Sexto Ano"/>
    <n v="2"/>
    <n v="9"/>
    <n v="60"/>
    <n v="2"/>
    <x v="3"/>
    <n v="200"/>
    <n v="4"/>
    <s v=" Nao"/>
    <n v="1"/>
  </r>
  <r>
    <x v="4"/>
    <x v="1"/>
    <x v="1"/>
    <s v=" Sexto Ano"/>
    <n v="3"/>
    <n v="12"/>
    <n v="99"/>
    <n v="2"/>
    <x v="4"/>
    <n v="305"/>
    <n v="2"/>
    <s v=" Nao"/>
    <n v="1"/>
  </r>
  <r>
    <x v="4"/>
    <x v="1"/>
    <x v="1"/>
    <s v=" Sexto Ano"/>
    <n v="3"/>
    <n v="15"/>
    <n v="120"/>
    <n v="2"/>
    <x v="5"/>
    <n v="440"/>
    <n v="2"/>
    <s v=" Sim"/>
    <n v="1"/>
  </r>
  <r>
    <x v="5"/>
    <x v="2"/>
    <x v="1"/>
    <s v=" Segundo Ano"/>
    <n v="2"/>
    <n v="3"/>
    <n v="8"/>
    <n v="3"/>
    <x v="0"/>
    <n v="20"/>
    <n v="0"/>
    <s v=" Nao"/>
    <n v="0"/>
  </r>
  <r>
    <x v="5"/>
    <x v="2"/>
    <x v="1"/>
    <s v=" Segundo Ano"/>
    <n v="1"/>
    <n v="3"/>
    <n v="15"/>
    <n v="3"/>
    <x v="1"/>
    <n v="45"/>
    <n v="0"/>
    <s v=" Nao"/>
    <n v="0"/>
  </r>
  <r>
    <x v="5"/>
    <x v="2"/>
    <x v="1"/>
    <s v=" Segundo Ano"/>
    <n v="0"/>
    <n v="6"/>
    <n v="40"/>
    <n v="3"/>
    <x v="2"/>
    <n v="105"/>
    <n v="0"/>
    <s v=" Nao"/>
    <n v="0"/>
  </r>
  <r>
    <x v="5"/>
    <x v="2"/>
    <x v="1"/>
    <s v=" Segundo Ano"/>
    <n v="0"/>
    <n v="9"/>
    <n v="59"/>
    <n v="3"/>
    <x v="3"/>
    <n v="195"/>
    <n v="0"/>
    <s v=" Nao"/>
    <n v="0"/>
  </r>
  <r>
    <x v="5"/>
    <x v="2"/>
    <x v="1"/>
    <s v=" Segundo Ano"/>
    <n v="1"/>
    <n v="12"/>
    <n v="113"/>
    <n v="3"/>
    <x v="4"/>
    <n v="310"/>
    <n v="7"/>
    <s v=" Nao"/>
    <n v="0"/>
  </r>
  <r>
    <x v="5"/>
    <x v="2"/>
    <x v="1"/>
    <s v=" Segundo Ano"/>
    <n v="1"/>
    <n v="15"/>
    <n v="120"/>
    <n v="3"/>
    <x v="5"/>
    <n v="455"/>
    <n v="1"/>
    <s v=" Sim"/>
    <n v="0"/>
  </r>
  <r>
    <x v="6"/>
    <x v="0"/>
    <x v="0"/>
    <s v=" Quarto Ano"/>
    <n v="0"/>
    <n v="3"/>
    <n v="9"/>
    <n v="3"/>
    <x v="0"/>
    <n v="30"/>
    <n v="0"/>
    <s v=" Não"/>
    <n v="0"/>
  </r>
  <r>
    <x v="6"/>
    <x v="0"/>
    <x v="0"/>
    <s v=" Quarto Ano"/>
    <n v="1"/>
    <n v="3"/>
    <n v="22"/>
    <n v="3"/>
    <x v="1"/>
    <n v="55"/>
    <n v="0"/>
    <s v=" Nao"/>
    <n v="0"/>
  </r>
  <r>
    <x v="6"/>
    <x v="0"/>
    <x v="0"/>
    <s v=" Quarto Ano"/>
    <n v="1"/>
    <n v="6"/>
    <n v="40"/>
    <n v="3"/>
    <x v="2"/>
    <n v="110"/>
    <n v="0"/>
    <s v=" Nao"/>
    <n v="0"/>
  </r>
  <r>
    <x v="6"/>
    <x v="0"/>
    <x v="0"/>
    <s v=" Quarto Ano"/>
    <n v="0"/>
    <n v="9"/>
    <n v="59"/>
    <n v="3"/>
    <x v="3"/>
    <n v="200"/>
    <n v="0"/>
    <s v=" Nao"/>
    <n v="0"/>
  </r>
  <r>
    <x v="6"/>
    <x v="0"/>
    <x v="0"/>
    <s v=" Quarto Ano"/>
    <n v="0"/>
    <n v="12"/>
    <n v="100"/>
    <n v="3"/>
    <x v="4"/>
    <n v="320"/>
    <n v="0"/>
    <s v=" Nao"/>
    <n v="0"/>
  </r>
  <r>
    <x v="6"/>
    <x v="0"/>
    <x v="0"/>
    <s v=" Quarto Ano"/>
    <n v="0"/>
    <n v="15"/>
    <n v="120"/>
    <n v="3"/>
    <x v="5"/>
    <n v="470"/>
    <n v="0"/>
    <s v=" Sim"/>
    <n v="0"/>
  </r>
  <r>
    <x v="7"/>
    <x v="0"/>
    <x v="0"/>
    <s v=" Quarto Ano"/>
    <n v="0"/>
    <n v="3"/>
    <n v="9"/>
    <n v="3"/>
    <x v="0"/>
    <n v="30"/>
    <n v="0"/>
    <s v=" Não"/>
    <n v="0"/>
  </r>
  <r>
    <x v="7"/>
    <x v="0"/>
    <x v="0"/>
    <s v=" Quarto Ano"/>
    <n v="1"/>
    <n v="3"/>
    <n v="22"/>
    <n v="3"/>
    <x v="1"/>
    <n v="55"/>
    <n v="0"/>
    <s v=" Nao"/>
    <n v="0"/>
  </r>
  <r>
    <x v="7"/>
    <x v="0"/>
    <x v="0"/>
    <s v=" Quarto Ano"/>
    <n v="1"/>
    <n v="6"/>
    <n v="40"/>
    <n v="3"/>
    <x v="2"/>
    <n v="110"/>
    <n v="0"/>
    <s v=" Nao"/>
    <n v="0"/>
  </r>
  <r>
    <x v="7"/>
    <x v="0"/>
    <x v="0"/>
    <s v=" Quarto Ano"/>
    <n v="0"/>
    <n v="9"/>
    <n v="59"/>
    <n v="3"/>
    <x v="3"/>
    <n v="200"/>
    <n v="0"/>
    <s v=" Nao"/>
    <n v="0"/>
  </r>
  <r>
    <x v="7"/>
    <x v="0"/>
    <x v="0"/>
    <s v=" Quarto Ano"/>
    <n v="0"/>
    <n v="12"/>
    <n v="100"/>
    <n v="3"/>
    <x v="4"/>
    <n v="320"/>
    <n v="0"/>
    <s v=" Nao"/>
    <n v="0"/>
  </r>
  <r>
    <x v="7"/>
    <x v="0"/>
    <x v="0"/>
    <s v=" Quarto Ano"/>
    <n v="0"/>
    <n v="15"/>
    <n v="120"/>
    <n v="3"/>
    <x v="5"/>
    <n v="470"/>
    <n v="0"/>
    <s v=" Sim"/>
    <n v="0"/>
  </r>
  <r>
    <x v="8"/>
    <x v="0"/>
    <x v="0"/>
    <s v=" Quarto Ano"/>
    <n v="0"/>
    <n v="3"/>
    <n v="9"/>
    <n v="3"/>
    <x v="0"/>
    <n v="30"/>
    <n v="0"/>
    <s v=" Não"/>
    <n v="0"/>
  </r>
  <r>
    <x v="8"/>
    <x v="0"/>
    <x v="0"/>
    <s v=" Quarto Ano"/>
    <n v="1"/>
    <n v="3"/>
    <n v="22"/>
    <n v="3"/>
    <x v="1"/>
    <n v="55"/>
    <n v="0"/>
    <s v=" Nao"/>
    <n v="0"/>
  </r>
  <r>
    <x v="8"/>
    <x v="0"/>
    <x v="0"/>
    <s v=" Quarto Ano"/>
    <n v="1"/>
    <n v="6"/>
    <n v="40"/>
    <n v="3"/>
    <x v="2"/>
    <n v="110"/>
    <n v="0"/>
    <s v=" Nao"/>
    <n v="0"/>
  </r>
  <r>
    <x v="8"/>
    <x v="0"/>
    <x v="0"/>
    <s v=" Quarto Ano"/>
    <n v="0"/>
    <n v="9"/>
    <n v="59"/>
    <n v="3"/>
    <x v="3"/>
    <n v="200"/>
    <n v="0"/>
    <s v=" Nao"/>
    <n v="0"/>
  </r>
  <r>
    <x v="8"/>
    <x v="0"/>
    <x v="0"/>
    <s v=" Quarto Ano"/>
    <n v="0"/>
    <n v="12"/>
    <n v="100"/>
    <n v="3"/>
    <x v="4"/>
    <n v="320"/>
    <n v="0"/>
    <s v=" Nao"/>
    <n v="0"/>
  </r>
  <r>
    <x v="8"/>
    <x v="0"/>
    <x v="0"/>
    <s v=" Quarto Ano"/>
    <n v="0"/>
    <n v="15"/>
    <n v="120"/>
    <n v="3"/>
    <x v="5"/>
    <n v="470"/>
    <n v="2"/>
    <s v=" Sim"/>
    <n v="0"/>
  </r>
  <r>
    <x v="9"/>
    <x v="0"/>
    <x v="0"/>
    <s v=" Quarto Ano"/>
    <n v="0"/>
    <n v="3"/>
    <n v="9"/>
    <n v="3"/>
    <x v="0"/>
    <n v="30"/>
    <n v="0"/>
    <s v=" Não"/>
    <n v="0"/>
  </r>
  <r>
    <x v="9"/>
    <x v="0"/>
    <x v="0"/>
    <s v=" Quarto Ano"/>
    <n v="1"/>
    <n v="3"/>
    <n v="22"/>
    <n v="3"/>
    <x v="1"/>
    <n v="55"/>
    <n v="0"/>
    <s v=" Nao"/>
    <n v="0"/>
  </r>
  <r>
    <x v="9"/>
    <x v="0"/>
    <x v="0"/>
    <s v=" Quarto Ano"/>
    <n v="1"/>
    <n v="6"/>
    <n v="40"/>
    <n v="3"/>
    <x v="2"/>
    <n v="110"/>
    <n v="0"/>
    <s v=" Nao"/>
    <n v="0"/>
  </r>
  <r>
    <x v="9"/>
    <x v="0"/>
    <x v="0"/>
    <s v=" Quarto Ano"/>
    <n v="0"/>
    <n v="9"/>
    <n v="59"/>
    <n v="3"/>
    <x v="3"/>
    <n v="200"/>
    <n v="0"/>
    <s v=" Nao"/>
    <n v="0"/>
  </r>
  <r>
    <x v="9"/>
    <x v="0"/>
    <x v="0"/>
    <s v=" Quarto Ano"/>
    <n v="0"/>
    <n v="12"/>
    <n v="100"/>
    <n v="3"/>
    <x v="4"/>
    <n v="320"/>
    <n v="0"/>
    <s v=" Nao"/>
    <n v="0"/>
  </r>
  <r>
    <x v="9"/>
    <x v="0"/>
    <x v="0"/>
    <s v=" Quarto Ano"/>
    <n v="0"/>
    <n v="15"/>
    <n v="120"/>
    <n v="3"/>
    <x v="5"/>
    <n v="470"/>
    <n v="2"/>
    <s v=" Sim"/>
    <n v="0"/>
  </r>
  <r>
    <x v="10"/>
    <x v="0"/>
    <x v="0"/>
    <s v=" Quarto Ano"/>
    <n v="0"/>
    <n v="3"/>
    <n v="9"/>
    <n v="3"/>
    <x v="0"/>
    <n v="30"/>
    <n v="0"/>
    <s v=" Não"/>
    <n v="0"/>
  </r>
  <r>
    <x v="10"/>
    <x v="0"/>
    <x v="0"/>
    <s v=" Quarto Ano"/>
    <n v="1"/>
    <n v="3"/>
    <n v="22"/>
    <n v="3"/>
    <x v="1"/>
    <n v="55"/>
    <n v="0"/>
    <s v=" Nao"/>
    <n v="0"/>
  </r>
  <r>
    <x v="10"/>
    <x v="0"/>
    <x v="0"/>
    <s v=" Quarto Ano"/>
    <n v="1"/>
    <n v="6"/>
    <n v="40"/>
    <n v="3"/>
    <x v="2"/>
    <n v="110"/>
    <n v="0"/>
    <s v=" Nao"/>
    <n v="0"/>
  </r>
  <r>
    <x v="10"/>
    <x v="0"/>
    <x v="0"/>
    <s v=" Quarto Ano"/>
    <n v="0"/>
    <n v="9"/>
    <n v="59"/>
    <n v="3"/>
    <x v="3"/>
    <n v="200"/>
    <n v="0"/>
    <s v=" Nao"/>
    <n v="0"/>
  </r>
  <r>
    <x v="10"/>
    <x v="0"/>
    <x v="0"/>
    <s v=" Quarto Ano"/>
    <n v="0"/>
    <n v="12"/>
    <n v="100"/>
    <n v="3"/>
    <x v="4"/>
    <n v="320"/>
    <n v="0"/>
    <s v=" Nao"/>
    <n v="0"/>
  </r>
  <r>
    <x v="10"/>
    <x v="0"/>
    <x v="0"/>
    <s v=" Quarto Ano"/>
    <n v="0"/>
    <n v="15"/>
    <n v="120"/>
    <n v="3"/>
    <x v="5"/>
    <n v="470"/>
    <n v="2"/>
    <s v=" Sim"/>
    <n v="0"/>
  </r>
  <r>
    <x v="11"/>
    <x v="2"/>
    <x v="1"/>
    <s v=" Primeiro Ano"/>
    <n v="4"/>
    <n v="3"/>
    <n v="19"/>
    <n v="3"/>
    <x v="0"/>
    <n v="10"/>
    <n v="0"/>
    <s v=" Nao"/>
    <n v="0"/>
  </r>
  <r>
    <x v="11"/>
    <x v="2"/>
    <x v="1"/>
    <s v=" Primeiro Ano"/>
    <n v="1"/>
    <n v="3"/>
    <n v="14"/>
    <n v="3"/>
    <x v="1"/>
    <n v="35"/>
    <n v="0"/>
    <s v=" Nao"/>
    <n v="0"/>
  </r>
  <r>
    <x v="11"/>
    <x v="2"/>
    <x v="1"/>
    <s v=" Primeiro Ano"/>
    <n v="0"/>
    <n v="6"/>
    <n v="44"/>
    <n v="3"/>
    <x v="2"/>
    <n v="95"/>
    <n v="1"/>
    <s v=" Nao"/>
    <n v="0"/>
  </r>
  <r>
    <x v="11"/>
    <x v="2"/>
    <x v="1"/>
    <s v=" Primeiro Ano"/>
    <n v="0"/>
    <n v="9"/>
    <n v="61"/>
    <n v="3"/>
    <x v="3"/>
    <n v="185"/>
    <n v="7"/>
    <s v=" Nao"/>
    <n v="0"/>
  </r>
  <r>
    <x v="11"/>
    <x v="2"/>
    <x v="1"/>
    <s v=" Primeiro Ano"/>
    <n v="2"/>
    <n v="12"/>
    <n v="101"/>
    <n v="2"/>
    <x v="4"/>
    <n v="295"/>
    <n v="9"/>
    <s v=" Nao"/>
    <n v="1"/>
  </r>
  <r>
    <x v="11"/>
    <x v="2"/>
    <x v="1"/>
    <s v=" Primeiro Ano"/>
    <n v="0"/>
    <n v="15"/>
    <n v="128"/>
    <n v="2"/>
    <x v="5"/>
    <n v="445"/>
    <n v="14"/>
    <s v=" Sim"/>
    <n v="1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">
  <r>
    <x v="0"/>
    <x v="0"/>
    <x v="0"/>
    <x v="0"/>
    <n v="185"/>
    <n v="295"/>
    <n v="445"/>
  </r>
  <r>
    <x v="1"/>
    <x v="1"/>
    <x v="1"/>
    <x v="1"/>
    <n v="200"/>
    <n v="320"/>
    <n v="470"/>
  </r>
  <r>
    <x v="2"/>
    <x v="1"/>
    <x v="1"/>
    <x v="1"/>
    <n v="200"/>
    <n v="320"/>
    <n v="470"/>
  </r>
  <r>
    <x v="3"/>
    <x v="1"/>
    <x v="1"/>
    <x v="1"/>
    <n v="200"/>
    <n v="320"/>
    <n v="470"/>
  </r>
  <r>
    <x v="4"/>
    <x v="1"/>
    <x v="1"/>
    <x v="1"/>
    <n v="200"/>
    <n v="320"/>
    <n v="470"/>
  </r>
  <r>
    <x v="4"/>
    <x v="1"/>
    <x v="1"/>
    <x v="1"/>
    <n v="200"/>
    <n v="320"/>
    <n v="470"/>
  </r>
  <r>
    <x v="5"/>
    <x v="2"/>
    <x v="2"/>
    <x v="2"/>
    <n v="195"/>
    <n v="310"/>
    <n v="455"/>
  </r>
  <r>
    <x v="6"/>
    <x v="1"/>
    <x v="3"/>
    <x v="3"/>
    <n v="200"/>
    <n v="305"/>
    <n v="440"/>
  </r>
  <r>
    <x v="7"/>
    <x v="2"/>
    <x v="2"/>
    <x v="4"/>
    <n v="190"/>
    <n v="305"/>
    <n v="450"/>
  </r>
  <r>
    <x v="8"/>
    <x v="1"/>
    <x v="1"/>
    <x v="1"/>
    <n v="200"/>
    <n v="320"/>
    <n v="470"/>
  </r>
  <r>
    <x v="9"/>
    <x v="1"/>
    <x v="1"/>
    <x v="1"/>
    <n v="200"/>
    <n v="320"/>
    <n v="470"/>
  </r>
  <r>
    <x v="10"/>
    <x v="1"/>
    <x v="1"/>
    <x v="1"/>
    <n v="200"/>
    <n v="320"/>
    <n v="470"/>
  </r>
  <r>
    <x v="11"/>
    <x v="3"/>
    <x v="4"/>
    <x v="5"/>
    <n v="197.5"/>
    <n v="314.58333333333331"/>
    <n v="462.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Tabela dinâmica1" cacheId="1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4">
  <location ref="A1:C86" firstHeaderRow="0" firstDataRow="1" firstDataCol="1"/>
  <pivotFields count="12">
    <pivotField axis="axisRow" showAll="0">
      <items count="17">
        <item x="0"/>
        <item x="3"/>
        <item x="4"/>
        <item x="5"/>
        <item x="1"/>
        <item x="2"/>
        <item h="1" m="1" x="12"/>
        <item x="6"/>
        <item m="1" x="14"/>
        <item x="7"/>
        <item m="1" x="13"/>
        <item x="8"/>
        <item x="9"/>
        <item m="1" x="15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  <pivotField showAll="0"/>
    <pivotField showAll="0"/>
    <pivotField axis="axisRow" showAll="0">
      <items count="7">
        <item x="0"/>
        <item x="1"/>
        <item x="2"/>
        <item x="3"/>
        <item x="4"/>
        <item x="5"/>
        <item t="default"/>
      </items>
    </pivotField>
    <pivotField showAll="0"/>
    <pivotField showAll="0"/>
    <pivotField showAll="0"/>
  </pivotFields>
  <rowFields count="2">
    <field x="0"/>
    <field x="8"/>
  </rowFields>
  <rowItems count="85">
    <i>
      <x/>
    </i>
    <i r="1">
      <x/>
    </i>
    <i r="1">
      <x v="1"/>
    </i>
    <i r="1">
      <x v="2"/>
    </i>
    <i r="1">
      <x v="3"/>
    </i>
    <i r="1">
      <x v="4"/>
    </i>
    <i r="1">
      <x v="5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>
      <x v="4"/>
    </i>
    <i r="1">
      <x/>
    </i>
    <i r="1">
      <x v="1"/>
    </i>
    <i r="1">
      <x v="2"/>
    </i>
    <i r="1">
      <x v="3"/>
    </i>
    <i r="1">
      <x v="4"/>
    </i>
    <i r="1">
      <x v="5"/>
    </i>
    <i>
      <x v="5"/>
    </i>
    <i r="1">
      <x/>
    </i>
    <i r="1">
      <x v="1"/>
    </i>
    <i r="1">
      <x v="2"/>
    </i>
    <i r="1">
      <x v="3"/>
    </i>
    <i r="1">
      <x v="4"/>
    </i>
    <i r="1">
      <x v="5"/>
    </i>
    <i>
      <x v="7"/>
    </i>
    <i r="1">
      <x/>
    </i>
    <i r="1">
      <x v="1"/>
    </i>
    <i r="1">
      <x v="2"/>
    </i>
    <i r="1">
      <x v="3"/>
    </i>
    <i r="1">
      <x v="4"/>
    </i>
    <i r="1">
      <x v="5"/>
    </i>
    <i>
      <x v="9"/>
    </i>
    <i r="1">
      <x/>
    </i>
    <i r="1">
      <x v="1"/>
    </i>
    <i r="1">
      <x v="2"/>
    </i>
    <i r="1">
      <x v="3"/>
    </i>
    <i r="1">
      <x v="4"/>
    </i>
    <i r="1">
      <x v="5"/>
    </i>
    <i>
      <x v="11"/>
    </i>
    <i r="1">
      <x/>
    </i>
    <i r="1">
      <x v="1"/>
    </i>
    <i r="1">
      <x v="2"/>
    </i>
    <i r="1">
      <x v="3"/>
    </i>
    <i r="1">
      <x v="4"/>
    </i>
    <i r="1">
      <x v="5"/>
    </i>
    <i>
      <x v="12"/>
    </i>
    <i r="1">
      <x/>
    </i>
    <i r="1">
      <x v="1"/>
    </i>
    <i r="1">
      <x v="2"/>
    </i>
    <i r="1">
      <x v="3"/>
    </i>
    <i r="1">
      <x v="4"/>
    </i>
    <i r="1">
      <x v="5"/>
    </i>
    <i>
      <x v="14"/>
    </i>
    <i r="1">
      <x/>
    </i>
    <i r="1">
      <x v="1"/>
    </i>
    <i r="1">
      <x v="2"/>
    </i>
    <i r="1">
      <x v="3"/>
    </i>
    <i r="1">
      <x v="4"/>
    </i>
    <i r="1">
      <x v="5"/>
    </i>
    <i>
      <x v="15"/>
    </i>
    <i r="1">
      <x/>
    </i>
    <i r="1">
      <x v="1"/>
    </i>
    <i r="1">
      <x v="2"/>
    </i>
    <i r="1">
      <x v="3"/>
    </i>
    <i r="1">
      <x v="4"/>
    </i>
    <i r="1"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maus" fld="4" baseField="0" baseItem="0"/>
    <dataField name="Soma de bons" fld="5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dinâmica8" cacheId="2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1">
  <location ref="A1:B80" firstHeaderRow="1" firstDataRow="1" firstDataCol="1"/>
  <pivotFields count="13">
    <pivotField axis="axisRow" showAll="0">
      <items count="15">
        <item x="0"/>
        <item x="3"/>
        <item x="4"/>
        <item x="5"/>
        <item x="1"/>
        <item x="2"/>
        <item x="6"/>
        <item x="8"/>
        <item m="1" x="13"/>
        <item x="7"/>
        <item x="9"/>
        <item h="1" x="12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Row"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dataField="1" showAll="0"/>
  </pivotFields>
  <rowFields count="2">
    <field x="8"/>
    <field x="0"/>
  </rowFields>
  <rowItems count="79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3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3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3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3"/>
    </i>
    <i>
      <x v="4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3"/>
    </i>
    <i>
      <x v="5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3"/>
    </i>
    <i t="grand">
      <x/>
    </i>
  </rowItems>
  <colItems count="1">
    <i/>
  </colItems>
  <dataFields count="1">
    <dataField name="Soma de vidasGastas" fld="12" baseField="8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ela dinâmica9" cacheId="2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1">
  <location ref="A1:B5" firstHeaderRow="1" firstDataRow="1" firstDataCol="1"/>
  <pivotFields count="13">
    <pivotField showAll="0"/>
    <pivotField axis="axisRow" showAll="0">
      <items count="5">
        <item x="2"/>
        <item x="0"/>
        <item x="1"/>
        <item h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oma de insist" fld="10" baseField="1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abela dinâmica10" cacheId="2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1">
  <location ref="A1:C4" firstHeaderRow="0" firstDataRow="1" firstDataCol="1"/>
  <pivotFields count="13">
    <pivotField showAll="0"/>
    <pivotField showAll="0"/>
    <pivotField axis="axisRow" showAll="0">
      <items count="4">
        <item x="1"/>
        <item x="0"/>
        <item h="1" x="2"/>
        <item t="default"/>
      </items>
    </pivotField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maus" fld="4" baseField="2" baseItem="0"/>
    <dataField name="Soma de bons" fld="5" baseField="2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Tabela dinâmica11" cacheId="2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1">
  <location ref="A1:C5" firstHeaderRow="0" firstDataRow="1" firstDataCol="1"/>
  <pivotFields count="13">
    <pivotField showAll="0"/>
    <pivotField axis="axisRow" showAll="0">
      <items count="5">
        <item x="2"/>
        <item x="0"/>
        <item x="1"/>
        <item h="1" x="3"/>
        <item t="default"/>
      </items>
    </pivotField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maus" fld="4" baseField="1" baseItem="0"/>
    <dataField name="Soma de bons" fld="5" baseField="1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Tabela dinâmica12" cacheId="2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1">
  <location ref="A1:N9" firstHeaderRow="1" firstDataRow="2" firstDataCol="1"/>
  <pivotFields count="13">
    <pivotField axis="axisCol" showAll="0">
      <items count="15">
        <item x="0"/>
        <item x="3"/>
        <item x="4"/>
        <item x="5"/>
        <item x="1"/>
        <item x="2"/>
        <item x="6"/>
        <item x="8"/>
        <item m="1" x="13"/>
        <item x="7"/>
        <item x="9"/>
        <item h="1" x="12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Row" showAll="0">
      <items count="8">
        <item x="0"/>
        <item x="1"/>
        <item x="2"/>
        <item x="3"/>
        <item x="4"/>
        <item x="5"/>
        <item h="1" x="6"/>
        <item t="default"/>
      </items>
    </pivotField>
    <pivotField dataField="1" showAll="0"/>
    <pivotField showAll="0"/>
    <pivotField showAll="0"/>
    <pivotField showAll="0"/>
  </pivotFields>
  <rowFields count="1">
    <field x="8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0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9"/>
    </i>
    <i>
      <x v="10"/>
    </i>
    <i>
      <x v="12"/>
    </i>
    <i>
      <x v="13"/>
    </i>
    <i t="grand">
      <x/>
    </i>
  </colItems>
  <dataFields count="1">
    <dataField name="Soma de pontos" fld="9" baseField="8" baseItem="0"/>
  </dataFields>
  <chartFormats count="25">
    <chartFormat chart="0" format="0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0" format="6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0" format="7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0" format="8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0" format="9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0" format="10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0" format="11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0" format="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Tabela dinâmica13" cacheId="2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1">
  <location ref="A1:B8" firstHeaderRow="1" firstDataRow="1" firstDataCol="1"/>
  <pivotFields count="13"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8">
        <item x="0"/>
        <item x="1"/>
        <item x="2"/>
        <item x="3"/>
        <item x="4"/>
        <item x="5"/>
        <item h="1" x="6"/>
        <item t="default"/>
      </items>
    </pivotField>
    <pivotField showAll="0"/>
    <pivotField dataField="1" showAll="0"/>
    <pivotField showAll="0"/>
    <pivotField showAll="0"/>
  </pivotFields>
  <rowFields count="1">
    <field x="8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oma de insist" fld="10" baseField="0" baseItem="0"/>
  </dataFields>
  <chartFormats count="1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Tabela dinâmica3" cacheId="2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1" rowHeaderCaption="Nivel">
  <location ref="A1:B8" firstHeaderRow="1" firstDataRow="1" firstDataCol="1"/>
  <pivotFields count="13">
    <pivotField showAll="0"/>
    <pivotField showAll="0"/>
    <pivotField showAll="0"/>
    <pivotField showAll="0"/>
    <pivotField showAll="0"/>
    <pivotField showAll="0"/>
    <pivotField dataField="1" showAll="0"/>
    <pivotField showAll="0"/>
    <pivotField axis="axisRow" showAll="0">
      <items count="8">
        <item x="0"/>
        <item x="1"/>
        <item x="2"/>
        <item x="3"/>
        <item x="4"/>
        <item x="5"/>
        <item h="1" x="6"/>
        <item t="default"/>
      </items>
    </pivotField>
    <pivotField showAll="0"/>
    <pivotField showAll="0"/>
    <pivotField showAll="0"/>
    <pivotField showAll="0"/>
  </pivotFields>
  <rowFields count="1">
    <field x="8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 tempo" fld="6" subtotal="average" baseField="8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Tabela dinâmica2" cacheId="0" dataOnRows="1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22">
  <location ref="A3:A4" firstHeaderRow="1" firstDataRow="1" firstDataCol="0"/>
  <pivotFields count="8">
    <pivotField showAll="0">
      <items count="14">
        <item h="1" x="11"/>
        <item h="1" x="0"/>
        <item h="1" x="8"/>
        <item h="1" x="7"/>
        <item h="1" x="6"/>
        <item h="1" x="10"/>
        <item h="1" x="9"/>
        <item h="1" x="5"/>
        <item x="3"/>
        <item h="1" x="12"/>
        <item h="1" x="1"/>
        <item h="1" x="4"/>
        <item h="1" x="2"/>
        <item t="default"/>
      </items>
    </pivotField>
    <pivotField dataField="1" showAll="0" defaultSubtotal="0">
      <items count="4">
        <item x="0"/>
        <item x="2"/>
        <item x="3"/>
        <item x="1"/>
      </items>
    </pivotField>
    <pivotField showAll="0">
      <items count="6">
        <item x="0"/>
        <item x="2"/>
        <item x="4"/>
        <item x="1"/>
        <item x="3"/>
        <item t="default"/>
      </items>
    </pivotField>
    <pivotField showAll="0"/>
    <pivotField showAll="0"/>
    <pivotField showAll="0"/>
    <pivotField showAll="0">
      <items count="7">
        <item x="3"/>
        <item x="0"/>
        <item x="4"/>
        <item x="2"/>
        <item x="5"/>
        <item x="1"/>
        <item t="default"/>
      </items>
    </pivotField>
    <pivotField dragToRow="0" dragToCol="0" dragToPage="0" showAll="0" defaultSubtotal="0"/>
  </pivotFields>
  <rowItems count="1">
    <i/>
  </rowItems>
  <colItems count="1">
    <i/>
  </colItems>
  <dataFields count="1">
    <dataField name="Soma de nivel0" fld="1" baseField="0" baseItem="0"/>
  </dataFields>
  <chartFormats count="1">
    <chartFormat chart="0" format="3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0.xml><?xml version="1.0" encoding="utf-8"?>
<pivotTableDefinition xmlns="http://schemas.openxmlformats.org/spreadsheetml/2006/main" name="Tabela dinâmica5" cacheId="3" dataOnRows="1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4">
  <location ref="B5:G9" firstHeaderRow="1" firstDataRow="2" firstDataCol="1" rowPageCount="3" colPageCount="1"/>
  <pivotFields count="7">
    <pivotField axis="axisCol" showAll="0">
      <items count="13">
        <item h="1" x="0"/>
        <item h="1" x="9"/>
        <item h="1" x="10"/>
        <item h="1" x="1"/>
        <item h="1" x="2"/>
        <item x="3"/>
        <item x="4"/>
        <item x="5"/>
        <item h="1" x="6"/>
        <item x="7"/>
        <item h="1" x="8"/>
        <item h="1" x="11"/>
        <item t="default"/>
      </items>
    </pivotField>
    <pivotField axis="axisPage" showAll="0">
      <items count="5">
        <item x="0"/>
        <item x="2"/>
        <item x="3"/>
        <item x="1"/>
        <item t="default"/>
      </items>
    </pivotField>
    <pivotField axis="axisPage" showAll="0">
      <items count="6">
        <item x="0"/>
        <item x="2"/>
        <item x="4"/>
        <item x="1"/>
        <item x="3"/>
        <item t="default"/>
      </items>
    </pivotField>
    <pivotField axis="axisPage" showAll="0">
      <items count="7">
        <item x="0"/>
        <item x="4"/>
        <item x="2"/>
        <item x="5"/>
        <item x="1"/>
        <item x="3"/>
        <item t="default"/>
      </items>
    </pivotField>
    <pivotField dataField="1" showAll="0"/>
    <pivotField dataField="1" showAll="0"/>
    <pivotField dataField="1" showAll="0"/>
  </pivotFields>
  <rowFields count="1">
    <field x="-2"/>
  </rowFields>
  <rowItems count="3">
    <i>
      <x/>
    </i>
    <i i="1">
      <x v="1"/>
    </i>
    <i i="2">
      <x v="2"/>
    </i>
  </rowItems>
  <colFields count="1">
    <field x="0"/>
  </colFields>
  <colItems count="5">
    <i>
      <x v="5"/>
    </i>
    <i>
      <x v="6"/>
    </i>
    <i>
      <x v="7"/>
    </i>
    <i>
      <x v="9"/>
    </i>
    <i t="grand">
      <x/>
    </i>
  </colItems>
  <pageFields count="3">
    <pageField fld="1" hier="-1"/>
    <pageField fld="2" hier="-1"/>
    <pageField fld="3" hier="-1"/>
  </pageFields>
  <dataFields count="3">
    <dataField name="Soma de N4" fld="4" baseField="0" baseItem="0"/>
    <dataField name="Soma de N5" fld="5" baseField="0" baseItem="0"/>
    <dataField name="Soma de N6" fld="6" baseField="0" baseItem="0"/>
  </dataFields>
  <chartFormats count="12">
    <chartFormat chart="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Data_1" connectionId="1" autoFormatId="16" applyNumberFormats="0" applyBorderFormats="0" applyFontFormats="0" applyPatternFormats="0" applyAlignmentFormats="0" applyWidthHeightFormats="0"/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jogador" sourceName="jogador">
  <pivotTables>
    <pivotTable tabId="36" name="Tabela dinâmica2"/>
  </pivotTables>
  <data>
    <tabular pivotCacheId="1">
      <items count="13">
        <i x="11"/>
        <i x="0"/>
        <i x="8"/>
        <i x="7"/>
        <i x="6"/>
        <i x="10"/>
        <i x="9"/>
        <i x="5"/>
        <i x="3" s="1"/>
        <i x="12"/>
        <i x="1"/>
        <i x="4"/>
        <i x="2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Jogador1" sourceName="Jogador">
  <pivotTables>
    <pivotTable tabId="43" name="Tabela dinâmica5"/>
  </pivotTables>
  <data>
    <tabular pivotCacheId="2">
      <items count="12">
        <i x="0"/>
        <i x="9"/>
        <i x="10"/>
        <i x="1"/>
        <i x="2"/>
        <i x="3" s="1"/>
        <i x="4" s="1"/>
        <i x="5" s="1"/>
        <i x="6"/>
        <i x="7" s="1"/>
        <i x="8"/>
        <i x="1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jogador" cache="SegmentaçãoDeDados_jogador" caption="jogador" startItem="5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Jogador 1" cache="SegmentaçãoDeDados_Jogador1" caption="Jogador" startItem="4" rowHeight="241300"/>
</slicer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7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customProperty" Target="../customProperty2.bin"/><Relationship Id="rId7" Type="http://schemas.openxmlformats.org/officeDocument/2006/relationships/drawing" Target="../drawings/drawing8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customProperty" Target="../customProperty5.bin"/><Relationship Id="rId5" Type="http://schemas.openxmlformats.org/officeDocument/2006/relationships/customProperty" Target="../customProperty4.bin"/><Relationship Id="rId10" Type="http://schemas.openxmlformats.org/officeDocument/2006/relationships/image" Target="../media/image1.emf"/><Relationship Id="rId4" Type="http://schemas.openxmlformats.org/officeDocument/2006/relationships/customProperty" Target="../customProperty3.bin"/><Relationship Id="rId9" Type="http://schemas.openxmlformats.org/officeDocument/2006/relationships/control" Target="../activeX/activeX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8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11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9.xml"/></Relationships>
</file>

<file path=xl/worksheets/_rels/sheet13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9"/>
  <dimension ref="A1:C86"/>
  <sheetViews>
    <sheetView topLeftCell="A78" workbookViewId="0">
      <selection activeCell="D21" sqref="D21"/>
    </sheetView>
  </sheetViews>
  <sheetFormatPr defaultRowHeight="15" x14ac:dyDescent="0.25"/>
  <cols>
    <col min="1" max="1" width="23" bestFit="1" customWidth="1"/>
    <col min="2" max="2" width="13.85546875" bestFit="1" customWidth="1"/>
    <col min="3" max="3" width="13.42578125" bestFit="1" customWidth="1"/>
    <col min="4" max="4" width="13.5703125" bestFit="1" customWidth="1"/>
  </cols>
  <sheetData>
    <row r="1" spans="1:3" x14ac:dyDescent="0.25">
      <c r="A1" s="4" t="s">
        <v>9</v>
      </c>
      <c r="B1" t="s">
        <v>13</v>
      </c>
      <c r="C1" t="s">
        <v>12</v>
      </c>
    </row>
    <row r="2" spans="1:3" x14ac:dyDescent="0.25">
      <c r="A2" s="5" t="s">
        <v>20</v>
      </c>
      <c r="B2" s="3">
        <v>2</v>
      </c>
      <c r="C2" s="3">
        <v>48</v>
      </c>
    </row>
    <row r="3" spans="1:3" x14ac:dyDescent="0.25">
      <c r="A3" s="7">
        <v>0</v>
      </c>
      <c r="B3" s="3">
        <v>0</v>
      </c>
      <c r="C3" s="3">
        <v>3</v>
      </c>
    </row>
    <row r="4" spans="1:3" x14ac:dyDescent="0.25">
      <c r="A4" s="7">
        <v>1</v>
      </c>
      <c r="B4" s="3">
        <v>1</v>
      </c>
      <c r="C4" s="3">
        <v>3</v>
      </c>
    </row>
    <row r="5" spans="1:3" x14ac:dyDescent="0.25">
      <c r="A5" s="7">
        <v>2</v>
      </c>
      <c r="B5" s="3">
        <v>1</v>
      </c>
      <c r="C5" s="3">
        <v>6</v>
      </c>
    </row>
    <row r="6" spans="1:3" x14ac:dyDescent="0.25">
      <c r="A6" s="7">
        <v>3</v>
      </c>
      <c r="B6" s="3">
        <v>0</v>
      </c>
      <c r="C6" s="3">
        <v>9</v>
      </c>
    </row>
    <row r="7" spans="1:3" x14ac:dyDescent="0.25">
      <c r="A7" s="7">
        <v>4</v>
      </c>
      <c r="B7" s="3">
        <v>0</v>
      </c>
      <c r="C7" s="3">
        <v>12</v>
      </c>
    </row>
    <row r="8" spans="1:3" x14ac:dyDescent="0.25">
      <c r="A8" s="7">
        <v>5</v>
      </c>
      <c r="B8" s="3">
        <v>0</v>
      </c>
      <c r="C8" s="3">
        <v>15</v>
      </c>
    </row>
    <row r="9" spans="1:3" x14ac:dyDescent="0.25">
      <c r="A9" s="5" t="s">
        <v>24</v>
      </c>
      <c r="B9" s="3">
        <v>6</v>
      </c>
      <c r="C9" s="3">
        <v>48</v>
      </c>
    </row>
    <row r="10" spans="1:3" x14ac:dyDescent="0.25">
      <c r="A10" s="7">
        <v>0</v>
      </c>
      <c r="B10" s="3">
        <v>2</v>
      </c>
      <c r="C10" s="3">
        <v>3</v>
      </c>
    </row>
    <row r="11" spans="1:3" x14ac:dyDescent="0.25">
      <c r="A11" s="7">
        <v>1</v>
      </c>
      <c r="B11" s="3">
        <v>1</v>
      </c>
      <c r="C11" s="3">
        <v>3</v>
      </c>
    </row>
    <row r="12" spans="1:3" x14ac:dyDescent="0.25">
      <c r="A12" s="7">
        <v>2</v>
      </c>
      <c r="B12" s="3">
        <v>1</v>
      </c>
      <c r="C12" s="3">
        <v>6</v>
      </c>
    </row>
    <row r="13" spans="1:3" x14ac:dyDescent="0.25">
      <c r="A13" s="7">
        <v>3</v>
      </c>
      <c r="B13" s="3">
        <v>0</v>
      </c>
      <c r="C13" s="3">
        <v>9</v>
      </c>
    </row>
    <row r="14" spans="1:3" x14ac:dyDescent="0.25">
      <c r="A14" s="7">
        <v>4</v>
      </c>
      <c r="B14" s="3">
        <v>1</v>
      </c>
      <c r="C14" s="3">
        <v>12</v>
      </c>
    </row>
    <row r="15" spans="1:3" x14ac:dyDescent="0.25">
      <c r="A15" s="7">
        <v>5</v>
      </c>
      <c r="B15" s="3">
        <v>1</v>
      </c>
      <c r="C15" s="3">
        <v>15</v>
      </c>
    </row>
    <row r="16" spans="1:3" x14ac:dyDescent="0.25">
      <c r="A16" s="5" t="s">
        <v>25</v>
      </c>
      <c r="B16" s="3">
        <v>8</v>
      </c>
      <c r="C16" s="3">
        <v>48</v>
      </c>
    </row>
    <row r="17" spans="1:3" x14ac:dyDescent="0.25">
      <c r="A17" s="7">
        <v>0</v>
      </c>
      <c r="B17" s="3">
        <v>0</v>
      </c>
      <c r="C17" s="3">
        <v>3</v>
      </c>
    </row>
    <row r="18" spans="1:3" x14ac:dyDescent="0.25">
      <c r="A18" s="7">
        <v>1</v>
      </c>
      <c r="B18" s="3">
        <v>0</v>
      </c>
      <c r="C18" s="3">
        <v>3</v>
      </c>
    </row>
    <row r="19" spans="1:3" x14ac:dyDescent="0.25">
      <c r="A19" s="7">
        <v>2</v>
      </c>
      <c r="B19" s="3">
        <v>0</v>
      </c>
      <c r="C19" s="3">
        <v>6</v>
      </c>
    </row>
    <row r="20" spans="1:3" x14ac:dyDescent="0.25">
      <c r="A20" s="7">
        <v>3</v>
      </c>
      <c r="B20" s="3">
        <v>2</v>
      </c>
      <c r="C20" s="3">
        <v>9</v>
      </c>
    </row>
    <row r="21" spans="1:3" x14ac:dyDescent="0.25">
      <c r="A21" s="7">
        <v>4</v>
      </c>
      <c r="B21" s="3">
        <v>3</v>
      </c>
      <c r="C21" s="3">
        <v>12</v>
      </c>
    </row>
    <row r="22" spans="1:3" x14ac:dyDescent="0.25">
      <c r="A22" s="7">
        <v>5</v>
      </c>
      <c r="B22" s="3">
        <v>3</v>
      </c>
      <c r="C22" s="3">
        <v>15</v>
      </c>
    </row>
    <row r="23" spans="1:3" x14ac:dyDescent="0.25">
      <c r="A23" s="5" t="s">
        <v>27</v>
      </c>
      <c r="B23" s="3">
        <v>5</v>
      </c>
      <c r="C23" s="3">
        <v>48</v>
      </c>
    </row>
    <row r="24" spans="1:3" x14ac:dyDescent="0.25">
      <c r="A24" s="7">
        <v>0</v>
      </c>
      <c r="B24" s="3">
        <v>2</v>
      </c>
      <c r="C24" s="3">
        <v>3</v>
      </c>
    </row>
    <row r="25" spans="1:3" x14ac:dyDescent="0.25">
      <c r="A25" s="7">
        <v>1</v>
      </c>
      <c r="B25" s="3">
        <v>1</v>
      </c>
      <c r="C25" s="3">
        <v>3</v>
      </c>
    </row>
    <row r="26" spans="1:3" x14ac:dyDescent="0.25">
      <c r="A26" s="7">
        <v>2</v>
      </c>
      <c r="B26" s="3">
        <v>0</v>
      </c>
      <c r="C26" s="3">
        <v>6</v>
      </c>
    </row>
    <row r="27" spans="1:3" x14ac:dyDescent="0.25">
      <c r="A27" s="7">
        <v>3</v>
      </c>
      <c r="B27" s="3">
        <v>0</v>
      </c>
      <c r="C27" s="3">
        <v>9</v>
      </c>
    </row>
    <row r="28" spans="1:3" x14ac:dyDescent="0.25">
      <c r="A28" s="7">
        <v>4</v>
      </c>
      <c r="B28" s="3">
        <v>1</v>
      </c>
      <c r="C28" s="3">
        <v>12</v>
      </c>
    </row>
    <row r="29" spans="1:3" x14ac:dyDescent="0.25">
      <c r="A29" s="7">
        <v>5</v>
      </c>
      <c r="B29" s="3">
        <v>1</v>
      </c>
      <c r="C29" s="3">
        <v>15</v>
      </c>
    </row>
    <row r="30" spans="1:3" x14ac:dyDescent="0.25">
      <c r="A30" s="5" t="s">
        <v>22</v>
      </c>
      <c r="B30" s="3">
        <v>2</v>
      </c>
      <c r="C30" s="3">
        <v>48</v>
      </c>
    </row>
    <row r="31" spans="1:3" x14ac:dyDescent="0.25">
      <c r="A31" s="7">
        <v>0</v>
      </c>
      <c r="B31" s="3">
        <v>0</v>
      </c>
      <c r="C31" s="3">
        <v>3</v>
      </c>
    </row>
    <row r="32" spans="1:3" x14ac:dyDescent="0.25">
      <c r="A32" s="7">
        <v>1</v>
      </c>
      <c r="B32" s="3">
        <v>1</v>
      </c>
      <c r="C32" s="3">
        <v>3</v>
      </c>
    </row>
    <row r="33" spans="1:3" x14ac:dyDescent="0.25">
      <c r="A33" s="7">
        <v>2</v>
      </c>
      <c r="B33" s="3">
        <v>1</v>
      </c>
      <c r="C33" s="3">
        <v>6</v>
      </c>
    </row>
    <row r="34" spans="1:3" x14ac:dyDescent="0.25">
      <c r="A34" s="7">
        <v>3</v>
      </c>
      <c r="B34" s="3">
        <v>0</v>
      </c>
      <c r="C34" s="3">
        <v>9</v>
      </c>
    </row>
    <row r="35" spans="1:3" x14ac:dyDescent="0.25">
      <c r="A35" s="7">
        <v>4</v>
      </c>
      <c r="B35" s="3">
        <v>0</v>
      </c>
      <c r="C35" s="3">
        <v>12</v>
      </c>
    </row>
    <row r="36" spans="1:3" x14ac:dyDescent="0.25">
      <c r="A36" s="7">
        <v>5</v>
      </c>
      <c r="B36" s="3">
        <v>0</v>
      </c>
      <c r="C36" s="3">
        <v>15</v>
      </c>
    </row>
    <row r="37" spans="1:3" x14ac:dyDescent="0.25">
      <c r="A37" s="5" t="s">
        <v>23</v>
      </c>
      <c r="B37" s="3">
        <v>2</v>
      </c>
      <c r="C37" s="3">
        <v>48</v>
      </c>
    </row>
    <row r="38" spans="1:3" x14ac:dyDescent="0.25">
      <c r="A38" s="7">
        <v>0</v>
      </c>
      <c r="B38" s="3">
        <v>0</v>
      </c>
      <c r="C38" s="3">
        <v>3</v>
      </c>
    </row>
    <row r="39" spans="1:3" x14ac:dyDescent="0.25">
      <c r="A39" s="7">
        <v>1</v>
      </c>
      <c r="B39" s="3">
        <v>1</v>
      </c>
      <c r="C39" s="3">
        <v>3</v>
      </c>
    </row>
    <row r="40" spans="1:3" x14ac:dyDescent="0.25">
      <c r="A40" s="7">
        <v>2</v>
      </c>
      <c r="B40" s="3">
        <v>1</v>
      </c>
      <c r="C40" s="3">
        <v>6</v>
      </c>
    </row>
    <row r="41" spans="1:3" x14ac:dyDescent="0.25">
      <c r="A41" s="7">
        <v>3</v>
      </c>
      <c r="B41" s="3">
        <v>0</v>
      </c>
      <c r="C41" s="3">
        <v>9</v>
      </c>
    </row>
    <row r="42" spans="1:3" x14ac:dyDescent="0.25">
      <c r="A42" s="7">
        <v>4</v>
      </c>
      <c r="B42" s="3">
        <v>0</v>
      </c>
      <c r="C42" s="3">
        <v>12</v>
      </c>
    </row>
    <row r="43" spans="1:3" x14ac:dyDescent="0.25">
      <c r="A43" s="7">
        <v>5</v>
      </c>
      <c r="B43" s="3">
        <v>0</v>
      </c>
      <c r="C43" s="3">
        <v>15</v>
      </c>
    </row>
    <row r="44" spans="1:3" x14ac:dyDescent="0.25">
      <c r="A44" s="5" t="s">
        <v>29</v>
      </c>
      <c r="B44" s="3">
        <v>2</v>
      </c>
      <c r="C44" s="3">
        <v>48</v>
      </c>
    </row>
    <row r="45" spans="1:3" x14ac:dyDescent="0.25">
      <c r="A45" s="7">
        <v>0</v>
      </c>
      <c r="B45" s="3">
        <v>0</v>
      </c>
      <c r="C45" s="3">
        <v>3</v>
      </c>
    </row>
    <row r="46" spans="1:3" x14ac:dyDescent="0.25">
      <c r="A46" s="7">
        <v>1</v>
      </c>
      <c r="B46" s="3">
        <v>1</v>
      </c>
      <c r="C46" s="3">
        <v>3</v>
      </c>
    </row>
    <row r="47" spans="1:3" x14ac:dyDescent="0.25">
      <c r="A47" s="7">
        <v>2</v>
      </c>
      <c r="B47" s="3">
        <v>1</v>
      </c>
      <c r="C47" s="3">
        <v>6</v>
      </c>
    </row>
    <row r="48" spans="1:3" x14ac:dyDescent="0.25">
      <c r="A48" s="7">
        <v>3</v>
      </c>
      <c r="B48" s="3">
        <v>0</v>
      </c>
      <c r="C48" s="3">
        <v>9</v>
      </c>
    </row>
    <row r="49" spans="1:3" x14ac:dyDescent="0.25">
      <c r="A49" s="7">
        <v>4</v>
      </c>
      <c r="B49" s="3">
        <v>0</v>
      </c>
      <c r="C49" s="3">
        <v>12</v>
      </c>
    </row>
    <row r="50" spans="1:3" x14ac:dyDescent="0.25">
      <c r="A50" s="7">
        <v>5</v>
      </c>
      <c r="B50" s="3">
        <v>0</v>
      </c>
      <c r="C50" s="3">
        <v>15</v>
      </c>
    </row>
    <row r="51" spans="1:3" x14ac:dyDescent="0.25">
      <c r="A51" s="6">
        <v>42278.4922337963</v>
      </c>
      <c r="B51" s="3">
        <v>2</v>
      </c>
      <c r="C51" s="3">
        <v>48</v>
      </c>
    </row>
    <row r="52" spans="1:3" x14ac:dyDescent="0.25">
      <c r="A52" s="7">
        <v>0</v>
      </c>
      <c r="B52" s="3">
        <v>0</v>
      </c>
      <c r="C52" s="3">
        <v>3</v>
      </c>
    </row>
    <row r="53" spans="1:3" x14ac:dyDescent="0.25">
      <c r="A53" s="7">
        <v>1</v>
      </c>
      <c r="B53" s="3">
        <v>1</v>
      </c>
      <c r="C53" s="3">
        <v>3</v>
      </c>
    </row>
    <row r="54" spans="1:3" x14ac:dyDescent="0.25">
      <c r="A54" s="7">
        <v>2</v>
      </c>
      <c r="B54" s="3">
        <v>1</v>
      </c>
      <c r="C54" s="3">
        <v>6</v>
      </c>
    </row>
    <row r="55" spans="1:3" x14ac:dyDescent="0.25">
      <c r="A55" s="7">
        <v>3</v>
      </c>
      <c r="B55" s="3">
        <v>0</v>
      </c>
      <c r="C55" s="3">
        <v>9</v>
      </c>
    </row>
    <row r="56" spans="1:3" x14ac:dyDescent="0.25">
      <c r="A56" s="7">
        <v>4</v>
      </c>
      <c r="B56" s="3">
        <v>0</v>
      </c>
      <c r="C56" s="3">
        <v>12</v>
      </c>
    </row>
    <row r="57" spans="1:3" x14ac:dyDescent="0.25">
      <c r="A57" s="7">
        <v>5</v>
      </c>
      <c r="B57" s="3">
        <v>0</v>
      </c>
      <c r="C57" s="3">
        <v>15</v>
      </c>
    </row>
    <row r="58" spans="1:3" x14ac:dyDescent="0.25">
      <c r="A58" s="5" t="s">
        <v>31</v>
      </c>
      <c r="B58" s="3">
        <v>2</v>
      </c>
      <c r="C58" s="3">
        <v>48</v>
      </c>
    </row>
    <row r="59" spans="1:3" x14ac:dyDescent="0.25">
      <c r="A59" s="7">
        <v>0</v>
      </c>
      <c r="B59" s="3">
        <v>0</v>
      </c>
      <c r="C59" s="3">
        <v>3</v>
      </c>
    </row>
    <row r="60" spans="1:3" x14ac:dyDescent="0.25">
      <c r="A60" s="7">
        <v>1</v>
      </c>
      <c r="B60" s="3">
        <v>1</v>
      </c>
      <c r="C60" s="3">
        <v>3</v>
      </c>
    </row>
    <row r="61" spans="1:3" x14ac:dyDescent="0.25">
      <c r="A61" s="7">
        <v>2</v>
      </c>
      <c r="B61" s="3">
        <v>1</v>
      </c>
      <c r="C61" s="3">
        <v>6</v>
      </c>
    </row>
    <row r="62" spans="1:3" x14ac:dyDescent="0.25">
      <c r="A62" s="7">
        <v>3</v>
      </c>
      <c r="B62" s="3">
        <v>0</v>
      </c>
      <c r="C62" s="3">
        <v>9</v>
      </c>
    </row>
    <row r="63" spans="1:3" x14ac:dyDescent="0.25">
      <c r="A63" s="7">
        <v>4</v>
      </c>
      <c r="B63" s="3">
        <v>0</v>
      </c>
      <c r="C63" s="3">
        <v>12</v>
      </c>
    </row>
    <row r="64" spans="1:3" x14ac:dyDescent="0.25">
      <c r="A64" s="7">
        <v>5</v>
      </c>
      <c r="B64" s="3">
        <v>0</v>
      </c>
      <c r="C64" s="3">
        <v>15</v>
      </c>
    </row>
    <row r="65" spans="1:3" x14ac:dyDescent="0.25">
      <c r="A65" s="6">
        <v>42309.4922337963</v>
      </c>
      <c r="B65" s="3">
        <v>2</v>
      </c>
      <c r="C65" s="3">
        <v>48</v>
      </c>
    </row>
    <row r="66" spans="1:3" x14ac:dyDescent="0.25">
      <c r="A66" s="7">
        <v>0</v>
      </c>
      <c r="B66" s="3">
        <v>0</v>
      </c>
      <c r="C66" s="3">
        <v>3</v>
      </c>
    </row>
    <row r="67" spans="1:3" x14ac:dyDescent="0.25">
      <c r="A67" s="7">
        <v>1</v>
      </c>
      <c r="B67" s="3">
        <v>1</v>
      </c>
      <c r="C67" s="3">
        <v>3</v>
      </c>
    </row>
    <row r="68" spans="1:3" x14ac:dyDescent="0.25">
      <c r="A68" s="7">
        <v>2</v>
      </c>
      <c r="B68" s="3">
        <v>1</v>
      </c>
      <c r="C68" s="3">
        <v>6</v>
      </c>
    </row>
    <row r="69" spans="1:3" x14ac:dyDescent="0.25">
      <c r="A69" s="7">
        <v>3</v>
      </c>
      <c r="B69" s="3">
        <v>0</v>
      </c>
      <c r="C69" s="3">
        <v>9</v>
      </c>
    </row>
    <row r="70" spans="1:3" x14ac:dyDescent="0.25">
      <c r="A70" s="7">
        <v>4</v>
      </c>
      <c r="B70" s="3">
        <v>0</v>
      </c>
      <c r="C70" s="3">
        <v>12</v>
      </c>
    </row>
    <row r="71" spans="1:3" x14ac:dyDescent="0.25">
      <c r="A71" s="7">
        <v>5</v>
      </c>
      <c r="B71" s="3">
        <v>0</v>
      </c>
      <c r="C71" s="3">
        <v>15</v>
      </c>
    </row>
    <row r="72" spans="1:3" x14ac:dyDescent="0.25">
      <c r="A72" s="6">
        <v>42064.4922337963</v>
      </c>
      <c r="B72" s="3">
        <v>2</v>
      </c>
      <c r="C72" s="3">
        <v>48</v>
      </c>
    </row>
    <row r="73" spans="1:3" x14ac:dyDescent="0.25">
      <c r="A73" s="7">
        <v>0</v>
      </c>
      <c r="B73" s="3">
        <v>0</v>
      </c>
      <c r="C73" s="3">
        <v>3</v>
      </c>
    </row>
    <row r="74" spans="1:3" x14ac:dyDescent="0.25">
      <c r="A74" s="7">
        <v>1</v>
      </c>
      <c r="B74" s="3">
        <v>1</v>
      </c>
      <c r="C74" s="3">
        <v>3</v>
      </c>
    </row>
    <row r="75" spans="1:3" x14ac:dyDescent="0.25">
      <c r="A75" s="7">
        <v>2</v>
      </c>
      <c r="B75" s="3">
        <v>1</v>
      </c>
      <c r="C75" s="3">
        <v>6</v>
      </c>
    </row>
    <row r="76" spans="1:3" x14ac:dyDescent="0.25">
      <c r="A76" s="7">
        <v>3</v>
      </c>
      <c r="B76" s="3">
        <v>0</v>
      </c>
      <c r="C76" s="3">
        <v>9</v>
      </c>
    </row>
    <row r="77" spans="1:3" x14ac:dyDescent="0.25">
      <c r="A77" s="7">
        <v>4</v>
      </c>
      <c r="B77" s="3">
        <v>0</v>
      </c>
      <c r="C77" s="3">
        <v>12</v>
      </c>
    </row>
    <row r="78" spans="1:3" x14ac:dyDescent="0.25">
      <c r="A78" s="7">
        <v>5</v>
      </c>
      <c r="B78" s="3">
        <v>0</v>
      </c>
      <c r="C78" s="3">
        <v>15</v>
      </c>
    </row>
    <row r="79" spans="1:3" x14ac:dyDescent="0.25">
      <c r="A79" s="5" t="s">
        <v>32</v>
      </c>
      <c r="B79" s="3">
        <v>7</v>
      </c>
      <c r="C79" s="3">
        <v>48</v>
      </c>
    </row>
    <row r="80" spans="1:3" x14ac:dyDescent="0.25">
      <c r="A80" s="7">
        <v>0</v>
      </c>
      <c r="B80" s="3">
        <v>4</v>
      </c>
      <c r="C80" s="3">
        <v>3</v>
      </c>
    </row>
    <row r="81" spans="1:3" x14ac:dyDescent="0.25">
      <c r="A81" s="7">
        <v>1</v>
      </c>
      <c r="B81" s="3">
        <v>1</v>
      </c>
      <c r="C81" s="3">
        <v>3</v>
      </c>
    </row>
    <row r="82" spans="1:3" x14ac:dyDescent="0.25">
      <c r="A82" s="7">
        <v>2</v>
      </c>
      <c r="B82" s="3">
        <v>0</v>
      </c>
      <c r="C82" s="3">
        <v>6</v>
      </c>
    </row>
    <row r="83" spans="1:3" x14ac:dyDescent="0.25">
      <c r="A83" s="7">
        <v>3</v>
      </c>
      <c r="B83" s="3">
        <v>0</v>
      </c>
      <c r="C83" s="3">
        <v>9</v>
      </c>
    </row>
    <row r="84" spans="1:3" x14ac:dyDescent="0.25">
      <c r="A84" s="7">
        <v>4</v>
      </c>
      <c r="B84" s="3">
        <v>2</v>
      </c>
      <c r="C84" s="3">
        <v>12</v>
      </c>
    </row>
    <row r="85" spans="1:3" x14ac:dyDescent="0.25">
      <c r="A85" s="7">
        <v>5</v>
      </c>
      <c r="B85" s="3">
        <v>0</v>
      </c>
      <c r="C85" s="3">
        <v>15</v>
      </c>
    </row>
    <row r="86" spans="1:3" x14ac:dyDescent="0.25">
      <c r="A86" s="5" t="s">
        <v>10</v>
      </c>
      <c r="B86" s="3">
        <v>42</v>
      </c>
      <c r="C86" s="3">
        <v>576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3"/>
  <dimension ref="A1:B80"/>
  <sheetViews>
    <sheetView topLeftCell="G1" workbookViewId="0">
      <selection activeCell="K16" sqref="K16"/>
    </sheetView>
  </sheetViews>
  <sheetFormatPr defaultRowHeight="15" x14ac:dyDescent="0.25"/>
  <cols>
    <col min="1" max="1" width="24.85546875" bestFit="1" customWidth="1"/>
    <col min="2" max="2" width="19.7109375" bestFit="1" customWidth="1"/>
    <col min="3" max="3" width="24" bestFit="1" customWidth="1"/>
  </cols>
  <sheetData>
    <row r="1" spans="1:2" x14ac:dyDescent="0.25">
      <c r="A1" s="4" t="s">
        <v>9</v>
      </c>
      <c r="B1" t="s">
        <v>11</v>
      </c>
    </row>
    <row r="2" spans="1:2" x14ac:dyDescent="0.25">
      <c r="A2" s="5">
        <v>0</v>
      </c>
      <c r="B2" s="3">
        <v>0</v>
      </c>
    </row>
    <row r="3" spans="1:2" x14ac:dyDescent="0.25">
      <c r="A3" s="7" t="s">
        <v>20</v>
      </c>
      <c r="B3" s="3">
        <v>0</v>
      </c>
    </row>
    <row r="4" spans="1:2" x14ac:dyDescent="0.25">
      <c r="A4" s="7" t="s">
        <v>24</v>
      </c>
      <c r="B4" s="3">
        <v>0</v>
      </c>
    </row>
    <row r="5" spans="1:2" x14ac:dyDescent="0.25">
      <c r="A5" s="7" t="s">
        <v>25</v>
      </c>
      <c r="B5" s="3">
        <v>0</v>
      </c>
    </row>
    <row r="6" spans="1:2" x14ac:dyDescent="0.25">
      <c r="A6" s="7" t="s">
        <v>27</v>
      </c>
      <c r="B6" s="3">
        <v>0</v>
      </c>
    </row>
    <row r="7" spans="1:2" x14ac:dyDescent="0.25">
      <c r="A7" s="7" t="s">
        <v>22</v>
      </c>
      <c r="B7" s="3">
        <v>0</v>
      </c>
    </row>
    <row r="8" spans="1:2" x14ac:dyDescent="0.25">
      <c r="A8" s="7" t="s">
        <v>23</v>
      </c>
      <c r="B8" s="3">
        <v>0</v>
      </c>
    </row>
    <row r="9" spans="1:2" x14ac:dyDescent="0.25">
      <c r="A9" s="7" t="s">
        <v>29</v>
      </c>
      <c r="B9" s="3">
        <v>0</v>
      </c>
    </row>
    <row r="10" spans="1:2" x14ac:dyDescent="0.25">
      <c r="A10" s="7" t="s">
        <v>31</v>
      </c>
      <c r="B10" s="3">
        <v>0</v>
      </c>
    </row>
    <row r="11" spans="1:2" x14ac:dyDescent="0.25">
      <c r="A11" s="8">
        <v>42278.4922337963</v>
      </c>
      <c r="B11" s="3">
        <v>0</v>
      </c>
    </row>
    <row r="12" spans="1:2" x14ac:dyDescent="0.25">
      <c r="A12" s="8">
        <v>42309.4922337963</v>
      </c>
      <c r="B12" s="3">
        <v>0</v>
      </c>
    </row>
    <row r="13" spans="1:2" x14ac:dyDescent="0.25">
      <c r="A13" s="8">
        <v>42064.4922337963</v>
      </c>
      <c r="B13" s="3">
        <v>0</v>
      </c>
    </row>
    <row r="14" spans="1:2" x14ac:dyDescent="0.25">
      <c r="A14" s="7" t="s">
        <v>32</v>
      </c>
      <c r="B14" s="3">
        <v>0</v>
      </c>
    </row>
    <row r="15" spans="1:2" x14ac:dyDescent="0.25">
      <c r="A15" s="5">
        <v>1</v>
      </c>
      <c r="B15" s="3">
        <v>0</v>
      </c>
    </row>
    <row r="16" spans="1:2" x14ac:dyDescent="0.25">
      <c r="A16" s="7" t="s">
        <v>20</v>
      </c>
      <c r="B16" s="3">
        <v>0</v>
      </c>
    </row>
    <row r="17" spans="1:2" x14ac:dyDescent="0.25">
      <c r="A17" s="7" t="s">
        <v>24</v>
      </c>
      <c r="B17" s="3">
        <v>0</v>
      </c>
    </row>
    <row r="18" spans="1:2" x14ac:dyDescent="0.25">
      <c r="A18" s="7" t="s">
        <v>25</v>
      </c>
      <c r="B18" s="3">
        <v>0</v>
      </c>
    </row>
    <row r="19" spans="1:2" x14ac:dyDescent="0.25">
      <c r="A19" s="7" t="s">
        <v>27</v>
      </c>
      <c r="B19" s="3">
        <v>0</v>
      </c>
    </row>
    <row r="20" spans="1:2" x14ac:dyDescent="0.25">
      <c r="A20" s="7" t="s">
        <v>22</v>
      </c>
      <c r="B20" s="3">
        <v>0</v>
      </c>
    </row>
    <row r="21" spans="1:2" x14ac:dyDescent="0.25">
      <c r="A21" s="7" t="s">
        <v>23</v>
      </c>
      <c r="B21" s="3">
        <v>0</v>
      </c>
    </row>
    <row r="22" spans="1:2" x14ac:dyDescent="0.25">
      <c r="A22" s="7" t="s">
        <v>29</v>
      </c>
      <c r="B22" s="3">
        <v>0</v>
      </c>
    </row>
    <row r="23" spans="1:2" x14ac:dyDescent="0.25">
      <c r="A23" s="7" t="s">
        <v>31</v>
      </c>
      <c r="B23" s="3">
        <v>0</v>
      </c>
    </row>
    <row r="24" spans="1:2" x14ac:dyDescent="0.25">
      <c r="A24" s="8">
        <v>42278.4922337963</v>
      </c>
      <c r="B24" s="3">
        <v>0</v>
      </c>
    </row>
    <row r="25" spans="1:2" x14ac:dyDescent="0.25">
      <c r="A25" s="8">
        <v>42309.4922337963</v>
      </c>
      <c r="B25" s="3">
        <v>0</v>
      </c>
    </row>
    <row r="26" spans="1:2" x14ac:dyDescent="0.25">
      <c r="A26" s="8">
        <v>42064.4922337963</v>
      </c>
      <c r="B26" s="3">
        <v>0</v>
      </c>
    </row>
    <row r="27" spans="1:2" x14ac:dyDescent="0.25">
      <c r="A27" s="7" t="s">
        <v>32</v>
      </c>
      <c r="B27" s="3">
        <v>0</v>
      </c>
    </row>
    <row r="28" spans="1:2" x14ac:dyDescent="0.25">
      <c r="A28" s="5">
        <v>2</v>
      </c>
      <c r="B28" s="3">
        <v>0</v>
      </c>
    </row>
    <row r="29" spans="1:2" x14ac:dyDescent="0.25">
      <c r="A29" s="7" t="s">
        <v>20</v>
      </c>
      <c r="B29" s="3">
        <v>0</v>
      </c>
    </row>
    <row r="30" spans="1:2" x14ac:dyDescent="0.25">
      <c r="A30" s="7" t="s">
        <v>24</v>
      </c>
      <c r="B30" s="3">
        <v>0</v>
      </c>
    </row>
    <row r="31" spans="1:2" x14ac:dyDescent="0.25">
      <c r="A31" s="7" t="s">
        <v>25</v>
      </c>
      <c r="B31" s="3">
        <v>0</v>
      </c>
    </row>
    <row r="32" spans="1:2" x14ac:dyDescent="0.25">
      <c r="A32" s="7" t="s">
        <v>27</v>
      </c>
      <c r="B32" s="3">
        <v>0</v>
      </c>
    </row>
    <row r="33" spans="1:2" x14ac:dyDescent="0.25">
      <c r="A33" s="7" t="s">
        <v>22</v>
      </c>
      <c r="B33" s="3">
        <v>0</v>
      </c>
    </row>
    <row r="34" spans="1:2" x14ac:dyDescent="0.25">
      <c r="A34" s="7" t="s">
        <v>23</v>
      </c>
      <c r="B34" s="3">
        <v>0</v>
      </c>
    </row>
    <row r="35" spans="1:2" x14ac:dyDescent="0.25">
      <c r="A35" s="7" t="s">
        <v>29</v>
      </c>
      <c r="B35" s="3">
        <v>0</v>
      </c>
    </row>
    <row r="36" spans="1:2" x14ac:dyDescent="0.25">
      <c r="A36" s="7" t="s">
        <v>31</v>
      </c>
      <c r="B36" s="3">
        <v>0</v>
      </c>
    </row>
    <row r="37" spans="1:2" x14ac:dyDescent="0.25">
      <c r="A37" s="8">
        <v>42278.4922337963</v>
      </c>
      <c r="B37" s="3">
        <v>0</v>
      </c>
    </row>
    <row r="38" spans="1:2" x14ac:dyDescent="0.25">
      <c r="A38" s="8">
        <v>42309.4922337963</v>
      </c>
      <c r="B38" s="3">
        <v>0</v>
      </c>
    </row>
    <row r="39" spans="1:2" x14ac:dyDescent="0.25">
      <c r="A39" s="8">
        <v>42064.4922337963</v>
      </c>
      <c r="B39" s="3">
        <v>0</v>
      </c>
    </row>
    <row r="40" spans="1:2" x14ac:dyDescent="0.25">
      <c r="A40" s="7" t="s">
        <v>32</v>
      </c>
      <c r="B40" s="3">
        <v>0</v>
      </c>
    </row>
    <row r="41" spans="1:2" x14ac:dyDescent="0.25">
      <c r="A41" s="5">
        <v>3</v>
      </c>
      <c r="B41" s="3">
        <v>1</v>
      </c>
    </row>
    <row r="42" spans="1:2" x14ac:dyDescent="0.25">
      <c r="A42" s="7" t="s">
        <v>20</v>
      </c>
      <c r="B42" s="3">
        <v>0</v>
      </c>
    </row>
    <row r="43" spans="1:2" x14ac:dyDescent="0.25">
      <c r="A43" s="7" t="s">
        <v>24</v>
      </c>
      <c r="B43" s="3">
        <v>0</v>
      </c>
    </row>
    <row r="44" spans="1:2" x14ac:dyDescent="0.25">
      <c r="A44" s="7" t="s">
        <v>25</v>
      </c>
      <c r="B44" s="3">
        <v>1</v>
      </c>
    </row>
    <row r="45" spans="1:2" x14ac:dyDescent="0.25">
      <c r="A45" s="7" t="s">
        <v>27</v>
      </c>
      <c r="B45" s="3">
        <v>0</v>
      </c>
    </row>
    <row r="46" spans="1:2" x14ac:dyDescent="0.25">
      <c r="A46" s="7" t="s">
        <v>22</v>
      </c>
      <c r="B46" s="3">
        <v>0</v>
      </c>
    </row>
    <row r="47" spans="1:2" x14ac:dyDescent="0.25">
      <c r="A47" s="7" t="s">
        <v>23</v>
      </c>
      <c r="B47" s="3">
        <v>0</v>
      </c>
    </row>
    <row r="48" spans="1:2" x14ac:dyDescent="0.25">
      <c r="A48" s="7" t="s">
        <v>29</v>
      </c>
      <c r="B48" s="3">
        <v>0</v>
      </c>
    </row>
    <row r="49" spans="1:2" x14ac:dyDescent="0.25">
      <c r="A49" s="7" t="s">
        <v>31</v>
      </c>
      <c r="B49" s="3">
        <v>0</v>
      </c>
    </row>
    <row r="50" spans="1:2" x14ac:dyDescent="0.25">
      <c r="A50" s="8">
        <v>42278.4922337963</v>
      </c>
      <c r="B50" s="3">
        <v>0</v>
      </c>
    </row>
    <row r="51" spans="1:2" x14ac:dyDescent="0.25">
      <c r="A51" s="8">
        <v>42309.4922337963</v>
      </c>
      <c r="B51" s="3">
        <v>0</v>
      </c>
    </row>
    <row r="52" spans="1:2" x14ac:dyDescent="0.25">
      <c r="A52" s="8">
        <v>42064.4922337963</v>
      </c>
      <c r="B52" s="3">
        <v>0</v>
      </c>
    </row>
    <row r="53" spans="1:2" x14ac:dyDescent="0.25">
      <c r="A53" s="7" t="s">
        <v>32</v>
      </c>
      <c r="B53" s="3">
        <v>0</v>
      </c>
    </row>
    <row r="54" spans="1:2" x14ac:dyDescent="0.25">
      <c r="A54" s="5">
        <v>4</v>
      </c>
      <c r="B54" s="3">
        <v>2</v>
      </c>
    </row>
    <row r="55" spans="1:2" x14ac:dyDescent="0.25">
      <c r="A55" s="7" t="s">
        <v>20</v>
      </c>
      <c r="B55" s="3">
        <v>0</v>
      </c>
    </row>
    <row r="56" spans="1:2" x14ac:dyDescent="0.25">
      <c r="A56" s="7" t="s">
        <v>24</v>
      </c>
      <c r="B56" s="3">
        <v>0</v>
      </c>
    </row>
    <row r="57" spans="1:2" x14ac:dyDescent="0.25">
      <c r="A57" s="7" t="s">
        <v>25</v>
      </c>
      <c r="B57" s="3">
        <v>1</v>
      </c>
    </row>
    <row r="58" spans="1:2" x14ac:dyDescent="0.25">
      <c r="A58" s="7" t="s">
        <v>27</v>
      </c>
      <c r="B58" s="3">
        <v>0</v>
      </c>
    </row>
    <row r="59" spans="1:2" x14ac:dyDescent="0.25">
      <c r="A59" s="7" t="s">
        <v>22</v>
      </c>
      <c r="B59" s="3">
        <v>0</v>
      </c>
    </row>
    <row r="60" spans="1:2" x14ac:dyDescent="0.25">
      <c r="A60" s="7" t="s">
        <v>23</v>
      </c>
      <c r="B60" s="3">
        <v>0</v>
      </c>
    </row>
    <row r="61" spans="1:2" x14ac:dyDescent="0.25">
      <c r="A61" s="7" t="s">
        <v>29</v>
      </c>
      <c r="B61" s="3">
        <v>0</v>
      </c>
    </row>
    <row r="62" spans="1:2" x14ac:dyDescent="0.25">
      <c r="A62" s="7" t="s">
        <v>31</v>
      </c>
      <c r="B62" s="3">
        <v>0</v>
      </c>
    </row>
    <row r="63" spans="1:2" x14ac:dyDescent="0.25">
      <c r="A63" s="8">
        <v>42278.4922337963</v>
      </c>
      <c r="B63" s="3">
        <v>0</v>
      </c>
    </row>
    <row r="64" spans="1:2" x14ac:dyDescent="0.25">
      <c r="A64" s="8">
        <v>42309.4922337963</v>
      </c>
      <c r="B64" s="3">
        <v>0</v>
      </c>
    </row>
    <row r="65" spans="1:2" x14ac:dyDescent="0.25">
      <c r="A65" s="8">
        <v>42064.4922337963</v>
      </c>
      <c r="B65" s="3">
        <v>0</v>
      </c>
    </row>
    <row r="66" spans="1:2" x14ac:dyDescent="0.25">
      <c r="A66" s="7" t="s">
        <v>32</v>
      </c>
      <c r="B66" s="3">
        <v>1</v>
      </c>
    </row>
    <row r="67" spans="1:2" x14ac:dyDescent="0.25">
      <c r="A67" s="5">
        <v>5</v>
      </c>
      <c r="B67" s="3">
        <v>2</v>
      </c>
    </row>
    <row r="68" spans="1:2" x14ac:dyDescent="0.25">
      <c r="A68" s="7" t="s">
        <v>20</v>
      </c>
      <c r="B68" s="3">
        <v>0</v>
      </c>
    </row>
    <row r="69" spans="1:2" x14ac:dyDescent="0.25">
      <c r="A69" s="7" t="s">
        <v>24</v>
      </c>
      <c r="B69" s="3">
        <v>0</v>
      </c>
    </row>
    <row r="70" spans="1:2" x14ac:dyDescent="0.25">
      <c r="A70" s="7" t="s">
        <v>25</v>
      </c>
      <c r="B70" s="3">
        <v>1</v>
      </c>
    </row>
    <row r="71" spans="1:2" x14ac:dyDescent="0.25">
      <c r="A71" s="7" t="s">
        <v>27</v>
      </c>
      <c r="B71" s="3">
        <v>0</v>
      </c>
    </row>
    <row r="72" spans="1:2" x14ac:dyDescent="0.25">
      <c r="A72" s="7" t="s">
        <v>22</v>
      </c>
      <c r="B72" s="3">
        <v>0</v>
      </c>
    </row>
    <row r="73" spans="1:2" x14ac:dyDescent="0.25">
      <c r="A73" s="7" t="s">
        <v>23</v>
      </c>
      <c r="B73" s="3">
        <v>0</v>
      </c>
    </row>
    <row r="74" spans="1:2" x14ac:dyDescent="0.25">
      <c r="A74" s="7" t="s">
        <v>29</v>
      </c>
      <c r="B74" s="3">
        <v>0</v>
      </c>
    </row>
    <row r="75" spans="1:2" x14ac:dyDescent="0.25">
      <c r="A75" s="7" t="s">
        <v>31</v>
      </c>
      <c r="B75" s="3">
        <v>0</v>
      </c>
    </row>
    <row r="76" spans="1:2" x14ac:dyDescent="0.25">
      <c r="A76" s="8">
        <v>42278.4922337963</v>
      </c>
      <c r="B76" s="3">
        <v>0</v>
      </c>
    </row>
    <row r="77" spans="1:2" x14ac:dyDescent="0.25">
      <c r="A77" s="8">
        <v>42309.4922337963</v>
      </c>
      <c r="B77" s="3">
        <v>0</v>
      </c>
    </row>
    <row r="78" spans="1:2" x14ac:dyDescent="0.25">
      <c r="A78" s="8">
        <v>42064.4922337963</v>
      </c>
      <c r="B78" s="3">
        <v>0</v>
      </c>
    </row>
    <row r="79" spans="1:2" x14ac:dyDescent="0.25">
      <c r="A79" s="7" t="s">
        <v>32</v>
      </c>
      <c r="B79" s="3">
        <v>1</v>
      </c>
    </row>
    <row r="80" spans="1:2" x14ac:dyDescent="0.25">
      <c r="A80" s="5" t="s">
        <v>10</v>
      </c>
      <c r="B80" s="3">
        <v>5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4"/>
  <dimension ref="A1:B5"/>
  <sheetViews>
    <sheetView workbookViewId="0"/>
  </sheetViews>
  <sheetFormatPr defaultRowHeight="15" x14ac:dyDescent="0.25"/>
  <cols>
    <col min="1" max="1" width="18" bestFit="1" customWidth="1"/>
    <col min="2" max="2" width="13.85546875" bestFit="1" customWidth="1"/>
  </cols>
  <sheetData>
    <row r="1" spans="1:2" x14ac:dyDescent="0.25">
      <c r="A1" s="4" t="s">
        <v>9</v>
      </c>
      <c r="B1" t="s">
        <v>30</v>
      </c>
    </row>
    <row r="2" spans="1:2" x14ac:dyDescent="0.25">
      <c r="A2" s="5">
        <v>7</v>
      </c>
      <c r="B2" s="3">
        <v>39</v>
      </c>
    </row>
    <row r="3" spans="1:2" x14ac:dyDescent="0.25">
      <c r="A3" s="5">
        <v>9</v>
      </c>
      <c r="B3" s="3">
        <v>6</v>
      </c>
    </row>
    <row r="4" spans="1:2" x14ac:dyDescent="0.25">
      <c r="A4" s="5">
        <v>10</v>
      </c>
      <c r="B4" s="3">
        <v>8</v>
      </c>
    </row>
    <row r="5" spans="1:2" x14ac:dyDescent="0.25">
      <c r="A5" s="5" t="s">
        <v>10</v>
      </c>
      <c r="B5" s="3">
        <v>53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5"/>
  <dimension ref="A1:C4"/>
  <sheetViews>
    <sheetView workbookViewId="0">
      <selection activeCell="C11" sqref="C11"/>
    </sheetView>
  </sheetViews>
  <sheetFormatPr defaultRowHeight="15" x14ac:dyDescent="0.25"/>
  <cols>
    <col min="1" max="1" width="18" bestFit="1" customWidth="1"/>
    <col min="2" max="2" width="13.85546875" bestFit="1" customWidth="1"/>
    <col min="3" max="3" width="13.42578125" bestFit="1" customWidth="1"/>
  </cols>
  <sheetData>
    <row r="1" spans="1:3" x14ac:dyDescent="0.25">
      <c r="A1" s="4" t="s">
        <v>9</v>
      </c>
      <c r="B1" t="s">
        <v>13</v>
      </c>
      <c r="C1" t="s">
        <v>12</v>
      </c>
    </row>
    <row r="2" spans="1:3" x14ac:dyDescent="0.25">
      <c r="A2" s="5" t="s">
        <v>26</v>
      </c>
      <c r="B2" s="3">
        <v>20</v>
      </c>
      <c r="C2" s="3">
        <v>144</v>
      </c>
    </row>
    <row r="3" spans="1:3" x14ac:dyDescent="0.25">
      <c r="A3" s="5" t="s">
        <v>21</v>
      </c>
      <c r="B3" s="3">
        <v>22</v>
      </c>
      <c r="C3" s="3">
        <v>432</v>
      </c>
    </row>
    <row r="4" spans="1:3" x14ac:dyDescent="0.25">
      <c r="A4" s="5" t="s">
        <v>10</v>
      </c>
      <c r="B4" s="3">
        <v>42</v>
      </c>
      <c r="C4" s="3">
        <v>576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6"/>
  <dimension ref="A1:C5"/>
  <sheetViews>
    <sheetView workbookViewId="0">
      <selection activeCell="C13" sqref="C13"/>
    </sheetView>
  </sheetViews>
  <sheetFormatPr defaultRowHeight="15" x14ac:dyDescent="0.25"/>
  <cols>
    <col min="1" max="1" width="18" bestFit="1" customWidth="1"/>
    <col min="2" max="2" width="13.85546875" bestFit="1" customWidth="1"/>
    <col min="3" max="3" width="13.42578125" bestFit="1" customWidth="1"/>
  </cols>
  <sheetData>
    <row r="1" spans="1:3" x14ac:dyDescent="0.25">
      <c r="A1" s="4" t="s">
        <v>9</v>
      </c>
      <c r="B1" t="s">
        <v>13</v>
      </c>
      <c r="C1" t="s">
        <v>12</v>
      </c>
    </row>
    <row r="2" spans="1:3" x14ac:dyDescent="0.25">
      <c r="A2" s="5">
        <v>7</v>
      </c>
      <c r="B2" s="3">
        <v>12</v>
      </c>
      <c r="C2" s="3">
        <v>96</v>
      </c>
    </row>
    <row r="3" spans="1:3" x14ac:dyDescent="0.25">
      <c r="A3" s="5">
        <v>9</v>
      </c>
      <c r="B3" s="3">
        <v>16</v>
      </c>
      <c r="C3" s="3">
        <v>384</v>
      </c>
    </row>
    <row r="4" spans="1:3" x14ac:dyDescent="0.25">
      <c r="A4" s="5">
        <v>10</v>
      </c>
      <c r="B4" s="3">
        <v>14</v>
      </c>
      <c r="C4" s="3">
        <v>96</v>
      </c>
    </row>
    <row r="5" spans="1:3" x14ac:dyDescent="0.25">
      <c r="A5" s="5" t="s">
        <v>10</v>
      </c>
      <c r="B5" s="3">
        <v>42</v>
      </c>
      <c r="C5" s="3">
        <v>576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7"/>
  <dimension ref="A1:N9"/>
  <sheetViews>
    <sheetView topLeftCell="A16" workbookViewId="0"/>
  </sheetViews>
  <sheetFormatPr defaultRowHeight="15" x14ac:dyDescent="0.25"/>
  <cols>
    <col min="1" max="1" width="18" bestFit="1" customWidth="1"/>
    <col min="2" max="9" width="21.140625" bestFit="1" customWidth="1"/>
    <col min="10" max="12" width="15.85546875" customWidth="1"/>
    <col min="13" max="13" width="20" bestFit="1" customWidth="1"/>
    <col min="14" max="14" width="10.7109375" bestFit="1" customWidth="1"/>
  </cols>
  <sheetData>
    <row r="1" spans="1:14" x14ac:dyDescent="0.25">
      <c r="A1" s="4" t="s">
        <v>15</v>
      </c>
      <c r="B1" s="4" t="s">
        <v>14</v>
      </c>
    </row>
    <row r="2" spans="1:14" x14ac:dyDescent="0.25">
      <c r="A2" s="4" t="s">
        <v>9</v>
      </c>
      <c r="B2" t="s">
        <v>20</v>
      </c>
      <c r="C2" t="s">
        <v>24</v>
      </c>
      <c r="D2" t="s">
        <v>25</v>
      </c>
      <c r="E2" t="s">
        <v>27</v>
      </c>
      <c r="F2" t="s">
        <v>22</v>
      </c>
      <c r="G2" t="s">
        <v>23</v>
      </c>
      <c r="H2" t="s">
        <v>29</v>
      </c>
      <c r="I2" t="s">
        <v>31</v>
      </c>
      <c r="J2" s="2">
        <v>42278.4922337963</v>
      </c>
      <c r="K2" s="2">
        <v>42309.4922337963</v>
      </c>
      <c r="L2" s="2">
        <v>42064.4922337963</v>
      </c>
      <c r="M2" t="s">
        <v>32</v>
      </c>
      <c r="N2" t="s">
        <v>10</v>
      </c>
    </row>
    <row r="3" spans="1:14" x14ac:dyDescent="0.25">
      <c r="A3" s="5">
        <v>0</v>
      </c>
      <c r="B3" s="3">
        <v>30</v>
      </c>
      <c r="C3" s="3">
        <v>20</v>
      </c>
      <c r="D3" s="3">
        <v>30</v>
      </c>
      <c r="E3" s="3">
        <v>20</v>
      </c>
      <c r="F3" s="3">
        <v>30</v>
      </c>
      <c r="G3" s="3">
        <v>30</v>
      </c>
      <c r="H3" s="3">
        <v>30</v>
      </c>
      <c r="I3" s="3">
        <v>30</v>
      </c>
      <c r="J3" s="3">
        <v>30</v>
      </c>
      <c r="K3" s="3">
        <v>30</v>
      </c>
      <c r="L3" s="3">
        <v>30</v>
      </c>
      <c r="M3" s="3">
        <v>10</v>
      </c>
      <c r="N3" s="3">
        <v>320</v>
      </c>
    </row>
    <row r="4" spans="1:14" x14ac:dyDescent="0.25">
      <c r="A4" s="5">
        <v>1</v>
      </c>
      <c r="B4" s="3">
        <v>55</v>
      </c>
      <c r="C4" s="3">
        <v>45</v>
      </c>
      <c r="D4" s="3">
        <v>60</v>
      </c>
      <c r="E4" s="3">
        <v>45</v>
      </c>
      <c r="F4" s="3">
        <v>55</v>
      </c>
      <c r="G4" s="3">
        <v>55</v>
      </c>
      <c r="H4" s="3">
        <v>55</v>
      </c>
      <c r="I4" s="3">
        <v>55</v>
      </c>
      <c r="J4" s="3">
        <v>55</v>
      </c>
      <c r="K4" s="3">
        <v>55</v>
      </c>
      <c r="L4" s="3">
        <v>55</v>
      </c>
      <c r="M4" s="3">
        <v>35</v>
      </c>
      <c r="N4" s="3">
        <v>625</v>
      </c>
    </row>
    <row r="5" spans="1:14" x14ac:dyDescent="0.25">
      <c r="A5" s="5">
        <v>2</v>
      </c>
      <c r="B5" s="3">
        <v>110</v>
      </c>
      <c r="C5" s="3">
        <v>100</v>
      </c>
      <c r="D5" s="3">
        <v>120</v>
      </c>
      <c r="E5" s="3">
        <v>105</v>
      </c>
      <c r="F5" s="3">
        <v>110</v>
      </c>
      <c r="G5" s="3">
        <v>110</v>
      </c>
      <c r="H5" s="3">
        <v>110</v>
      </c>
      <c r="I5" s="3">
        <v>110</v>
      </c>
      <c r="J5" s="3">
        <v>110</v>
      </c>
      <c r="K5" s="3">
        <v>110</v>
      </c>
      <c r="L5" s="3">
        <v>110</v>
      </c>
      <c r="M5" s="3">
        <v>95</v>
      </c>
      <c r="N5" s="3">
        <v>1300</v>
      </c>
    </row>
    <row r="6" spans="1:14" x14ac:dyDescent="0.25">
      <c r="A6" s="5">
        <v>3</v>
      </c>
      <c r="B6" s="3">
        <v>200</v>
      </c>
      <c r="C6" s="3">
        <v>190</v>
      </c>
      <c r="D6" s="3">
        <v>200</v>
      </c>
      <c r="E6" s="3">
        <v>195</v>
      </c>
      <c r="F6" s="3">
        <v>200</v>
      </c>
      <c r="G6" s="3">
        <v>200</v>
      </c>
      <c r="H6" s="3">
        <v>200</v>
      </c>
      <c r="I6" s="3">
        <v>200</v>
      </c>
      <c r="J6" s="3">
        <v>200</v>
      </c>
      <c r="K6" s="3">
        <v>200</v>
      </c>
      <c r="L6" s="3">
        <v>200</v>
      </c>
      <c r="M6" s="3">
        <v>185</v>
      </c>
      <c r="N6" s="3">
        <v>2370</v>
      </c>
    </row>
    <row r="7" spans="1:14" x14ac:dyDescent="0.25">
      <c r="A7" s="5">
        <v>4</v>
      </c>
      <c r="B7" s="3">
        <v>320</v>
      </c>
      <c r="C7" s="3">
        <v>305</v>
      </c>
      <c r="D7" s="3">
        <v>305</v>
      </c>
      <c r="E7" s="3">
        <v>310</v>
      </c>
      <c r="F7" s="3">
        <v>320</v>
      </c>
      <c r="G7" s="3">
        <v>320</v>
      </c>
      <c r="H7" s="3">
        <v>320</v>
      </c>
      <c r="I7" s="3">
        <v>320</v>
      </c>
      <c r="J7" s="3">
        <v>320</v>
      </c>
      <c r="K7" s="3">
        <v>320</v>
      </c>
      <c r="L7" s="3">
        <v>320</v>
      </c>
      <c r="M7" s="3">
        <v>295</v>
      </c>
      <c r="N7" s="3">
        <v>3775</v>
      </c>
    </row>
    <row r="8" spans="1:14" x14ac:dyDescent="0.25">
      <c r="A8" s="5">
        <v>5</v>
      </c>
      <c r="B8" s="3">
        <v>470</v>
      </c>
      <c r="C8" s="3">
        <v>450</v>
      </c>
      <c r="D8" s="3">
        <v>440</v>
      </c>
      <c r="E8" s="3">
        <v>455</v>
      </c>
      <c r="F8" s="3">
        <v>470</v>
      </c>
      <c r="G8" s="3">
        <v>470</v>
      </c>
      <c r="H8" s="3">
        <v>470</v>
      </c>
      <c r="I8" s="3">
        <v>470</v>
      </c>
      <c r="J8" s="3">
        <v>470</v>
      </c>
      <c r="K8" s="3">
        <v>470</v>
      </c>
      <c r="L8" s="3">
        <v>470</v>
      </c>
      <c r="M8" s="3">
        <v>445</v>
      </c>
      <c r="N8" s="3">
        <v>5550</v>
      </c>
    </row>
    <row r="9" spans="1:14" x14ac:dyDescent="0.25">
      <c r="A9" s="5" t="s">
        <v>10</v>
      </c>
      <c r="B9" s="3">
        <v>1185</v>
      </c>
      <c r="C9" s="3">
        <v>1110</v>
      </c>
      <c r="D9" s="3">
        <v>1155</v>
      </c>
      <c r="E9" s="3">
        <v>1130</v>
      </c>
      <c r="F9" s="3">
        <v>1185</v>
      </c>
      <c r="G9" s="3">
        <v>1185</v>
      </c>
      <c r="H9" s="3">
        <v>1185</v>
      </c>
      <c r="I9" s="3">
        <v>1185</v>
      </c>
      <c r="J9" s="3">
        <v>1185</v>
      </c>
      <c r="K9" s="3">
        <v>1185</v>
      </c>
      <c r="L9" s="3">
        <v>1185</v>
      </c>
      <c r="M9" s="3">
        <v>1065</v>
      </c>
      <c r="N9" s="3">
        <v>13940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8"/>
  <dimension ref="A1:B8"/>
  <sheetViews>
    <sheetView workbookViewId="0">
      <selection activeCell="E24" sqref="E24"/>
    </sheetView>
  </sheetViews>
  <sheetFormatPr defaultRowHeight="15" x14ac:dyDescent="0.25"/>
  <cols>
    <col min="1" max="1" width="18" bestFit="1" customWidth="1"/>
    <col min="2" max="2" width="13.85546875" bestFit="1" customWidth="1"/>
  </cols>
  <sheetData>
    <row r="1" spans="1:2" x14ac:dyDescent="0.25">
      <c r="A1" s="4" t="s">
        <v>9</v>
      </c>
      <c r="B1" t="s">
        <v>30</v>
      </c>
    </row>
    <row r="2" spans="1:2" x14ac:dyDescent="0.25">
      <c r="A2" s="5">
        <v>0</v>
      </c>
      <c r="B2" s="3">
        <v>0</v>
      </c>
    </row>
    <row r="3" spans="1:2" x14ac:dyDescent="0.25">
      <c r="A3" s="5">
        <v>1</v>
      </c>
      <c r="B3" s="3">
        <v>0</v>
      </c>
    </row>
    <row r="4" spans="1:2" x14ac:dyDescent="0.25">
      <c r="A4" s="5">
        <v>2</v>
      </c>
      <c r="B4" s="3">
        <v>1</v>
      </c>
    </row>
    <row r="5" spans="1:2" x14ac:dyDescent="0.25">
      <c r="A5" s="5">
        <v>3</v>
      </c>
      <c r="B5" s="3">
        <v>11</v>
      </c>
    </row>
    <row r="6" spans="1:2" x14ac:dyDescent="0.25">
      <c r="A6" s="5">
        <v>4</v>
      </c>
      <c r="B6" s="3">
        <v>18</v>
      </c>
    </row>
    <row r="7" spans="1:2" x14ac:dyDescent="0.25">
      <c r="A7" s="5">
        <v>5</v>
      </c>
      <c r="B7" s="3">
        <v>23</v>
      </c>
    </row>
    <row r="8" spans="1:2" x14ac:dyDescent="0.25">
      <c r="A8" s="5" t="s">
        <v>10</v>
      </c>
      <c r="B8" s="3">
        <v>53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lha2"/>
  <dimension ref="Z1001:Z1002"/>
  <sheetViews>
    <sheetView showGridLines="0" showRowColHeaders="0" showRuler="0" workbookViewId="0"/>
  </sheetViews>
  <sheetFormatPr defaultRowHeight="15" x14ac:dyDescent="0.25"/>
  <cols>
    <col min="26" max="26" width="46.7109375" bestFit="1" customWidth="1"/>
  </cols>
  <sheetData>
    <row r="1001" spans="26:26" x14ac:dyDescent="0.25">
      <c r="Z1001" t="s">
        <v>36</v>
      </c>
    </row>
    <row r="1002" spans="26:26" x14ac:dyDescent="0.25">
      <c r="Z1002" t="s">
        <v>37</v>
      </c>
    </row>
  </sheetData>
  <sheetProtection selectLockedCells="1" selectUnlockedCells="1"/>
  <pageMargins left="0.7" right="0.7" top="0.75" bottom="0.75" header="0.3" footer="0.3"/>
  <pageSetup paperSize="9" orientation="portrait" r:id="rId1"/>
  <customProperties>
    <customPr name="Microsoft.ReportingServices.InteractiveReport.Excel.Connection" r:id="rId2"/>
    <customPr name="Microsoft.ReportingServices.InteractiveReport.Excel.Data" r:id="rId3"/>
    <customPr name="Microsoft.ReportingServices.InteractiveReport.Excel.Id" r:id="rId4"/>
    <customPr name="Microsoft.ReportingServices.InteractiveReport.Excel.Image" r:id="rId5"/>
    <customPr name="Microsoft.ReportingServices.InteractiveReport.Excel.Version" r:id="rId6"/>
  </customProperties>
  <drawing r:id="rId7"/>
  <legacyDrawing r:id="rId8"/>
  <controls>
    <mc:AlternateContent xmlns:mc="http://schemas.openxmlformats.org/markup-compatibility/2006">
      <mc:Choice Requires="x14">
        <control shapeId="19457" r:id="rId9" name="AroAxControlShim1">
          <controlPr defaultSize="0" autoLine="0" autoPict="0" altText="Vista Avançada" r:id="rId10">
            <anchor moveWithCells="1">
              <from>
                <xdr:col>0</xdr:col>
                <xdr:colOff>9525</xdr:colOff>
                <xdr:row>0</xdr:row>
                <xdr:rowOff>9525</xdr:rowOff>
              </from>
              <to>
                <xdr:col>23</xdr:col>
                <xdr:colOff>428625</xdr:colOff>
                <xdr:row>59</xdr:row>
                <xdr:rowOff>47625</xdr:rowOff>
              </to>
            </anchor>
          </controlPr>
        </control>
      </mc:Choice>
      <mc:Fallback>
        <control shapeId="19457" r:id="rId9" name="AroAxControlShim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10"/>
  <dimension ref="A1:B8"/>
  <sheetViews>
    <sheetView workbookViewId="0">
      <selection activeCell="I21" sqref="I21"/>
    </sheetView>
  </sheetViews>
  <sheetFormatPr defaultRowHeight="15" x14ac:dyDescent="0.25"/>
  <cols>
    <col min="1" max="1" width="10.7109375" bestFit="1" customWidth="1"/>
    <col min="2" max="2" width="12" bestFit="1" customWidth="1"/>
  </cols>
  <sheetData>
    <row r="1" spans="1:2" x14ac:dyDescent="0.25">
      <c r="A1" s="4" t="s">
        <v>35</v>
      </c>
      <c r="B1" t="s">
        <v>34</v>
      </c>
    </row>
    <row r="2" spans="1:2" x14ac:dyDescent="0.25">
      <c r="A2" s="5">
        <v>0</v>
      </c>
      <c r="B2" s="3">
        <v>10.083333333333334</v>
      </c>
    </row>
    <row r="3" spans="1:2" x14ac:dyDescent="0.25">
      <c r="A3" s="5">
        <v>1</v>
      </c>
      <c r="B3" s="3">
        <v>20.833333333333332</v>
      </c>
    </row>
    <row r="4" spans="1:2" x14ac:dyDescent="0.25">
      <c r="A4" s="5">
        <v>2</v>
      </c>
      <c r="B4" s="3">
        <v>40.583333333333336</v>
      </c>
    </row>
    <row r="5" spans="1:2" x14ac:dyDescent="0.25">
      <c r="A5" s="5">
        <v>3</v>
      </c>
      <c r="B5" s="3">
        <v>59.333333333333336</v>
      </c>
    </row>
    <row r="6" spans="1:2" x14ac:dyDescent="0.25">
      <c r="A6" s="5">
        <v>4</v>
      </c>
      <c r="B6" s="3">
        <v>101.5</v>
      </c>
    </row>
    <row r="7" spans="1:2" x14ac:dyDescent="0.25">
      <c r="A7" s="5">
        <v>5</v>
      </c>
      <c r="B7" s="3">
        <v>122.16666666666667</v>
      </c>
    </row>
    <row r="8" spans="1:2" x14ac:dyDescent="0.25">
      <c r="A8" s="5" t="s">
        <v>10</v>
      </c>
      <c r="B8" s="3">
        <v>59.083333333333336</v>
      </c>
    </row>
  </sheetData>
  <pageMargins left="0.7" right="0.7" top="0.75" bottom="0.75" header="0.3" footer="0.3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lha1"/>
  <dimension ref="A1:R114"/>
  <sheetViews>
    <sheetView tabSelected="1" workbookViewId="0">
      <selection activeCell="R1" sqref="R1:X14"/>
    </sheetView>
  </sheetViews>
  <sheetFormatPr defaultRowHeight="15" x14ac:dyDescent="0.25"/>
  <cols>
    <col min="1" max="1" width="21" customWidth="1"/>
    <col min="2" max="2" width="3" customWidth="1"/>
    <col min="3" max="3" width="10.42578125" customWidth="1"/>
    <col min="4" max="4" width="13.28515625" customWidth="1"/>
    <col min="5" max="5" width="2" customWidth="1"/>
    <col min="6" max="6" width="3" customWidth="1"/>
    <col min="7" max="7" width="4" customWidth="1"/>
    <col min="8" max="9" width="2" customWidth="1"/>
    <col min="10" max="10" width="4" customWidth="1"/>
    <col min="11" max="11" width="3" customWidth="1"/>
    <col min="12" max="12" width="5" customWidth="1"/>
    <col min="14" max="14" width="8.5703125" bestFit="1" customWidth="1"/>
    <col min="16" max="16" width="15.7109375" bestFit="1" customWidth="1"/>
    <col min="18" max="18" width="21" bestFit="1" customWidth="1"/>
  </cols>
  <sheetData>
    <row r="1" spans="1:18" x14ac:dyDescent="0.25">
      <c r="A1" t="s">
        <v>0</v>
      </c>
      <c r="B1" t="s">
        <v>16</v>
      </c>
      <c r="C1" t="s">
        <v>17</v>
      </c>
      <c r="D1" t="s">
        <v>18</v>
      </c>
      <c r="E1" t="s">
        <v>19</v>
      </c>
      <c r="F1" t="s">
        <v>1</v>
      </c>
      <c r="G1" t="s">
        <v>2</v>
      </c>
      <c r="H1" t="s">
        <v>3</v>
      </c>
      <c r="I1" t="s">
        <v>4</v>
      </c>
      <c r="J1" t="s">
        <v>5</v>
      </c>
      <c r="K1" t="s">
        <v>6</v>
      </c>
      <c r="L1" t="s">
        <v>7</v>
      </c>
      <c r="M1" s="1" t="s">
        <v>8</v>
      </c>
      <c r="R1" s="2"/>
    </row>
    <row r="2" spans="1:18" x14ac:dyDescent="0.25">
      <c r="A2" s="2"/>
      <c r="B2"/>
      <c r="C2"/>
      <c r="D2"/>
      <c r="E2"/>
      <c r="F2"/>
      <c r="G2"/>
      <c r="H2"/>
      <c r="I2"/>
      <c r="J2"/>
      <c r="K2"/>
      <c r="L2"/>
      <c r="M2">
        <f>3-H2</f>
        <v>0</v>
      </c>
      <c r="R2" s="2"/>
    </row>
    <row r="3" spans="1:18" x14ac:dyDescent="0.25">
      <c r="A3" s="2"/>
      <c r="B3"/>
      <c r="C3"/>
      <c r="D3"/>
      <c r="E3"/>
      <c r="F3"/>
      <c r="G3"/>
      <c r="H3"/>
      <c r="I3"/>
      <c r="J3"/>
      <c r="K3"/>
      <c r="L3"/>
      <c r="M3">
        <f t="shared" ref="M3:M66" si="0">3-H3</f>
        <v>0</v>
      </c>
      <c r="R3" s="2"/>
    </row>
    <row r="4" spans="1:18" x14ac:dyDescent="0.25">
      <c r="A4" s="2"/>
      <c r="B4"/>
      <c r="C4"/>
      <c r="D4"/>
      <c r="E4"/>
      <c r="F4"/>
      <c r="G4"/>
      <c r="H4"/>
      <c r="I4"/>
      <c r="J4"/>
      <c r="K4"/>
      <c r="L4"/>
      <c r="M4">
        <f t="shared" si="0"/>
        <v>0</v>
      </c>
      <c r="R4" s="2"/>
    </row>
    <row r="5" spans="1:18" x14ac:dyDescent="0.25">
      <c r="A5" s="2"/>
      <c r="B5"/>
      <c r="C5"/>
      <c r="D5"/>
      <c r="E5"/>
      <c r="F5"/>
      <c r="G5"/>
      <c r="H5"/>
      <c r="I5"/>
      <c r="J5"/>
      <c r="K5"/>
      <c r="L5"/>
      <c r="M5">
        <f t="shared" si="0"/>
        <v>0</v>
      </c>
      <c r="R5" s="2"/>
    </row>
    <row r="6" spans="1:18" x14ac:dyDescent="0.25">
      <c r="A6" s="2"/>
      <c r="B6"/>
      <c r="C6"/>
      <c r="D6"/>
      <c r="E6"/>
      <c r="F6"/>
      <c r="G6"/>
      <c r="H6"/>
      <c r="I6"/>
      <c r="J6"/>
      <c r="K6"/>
      <c r="L6"/>
      <c r="M6">
        <f t="shared" si="0"/>
        <v>0</v>
      </c>
      <c r="R6" s="6"/>
    </row>
    <row r="7" spans="1:18" x14ac:dyDescent="0.25">
      <c r="A7" s="2"/>
      <c r="B7"/>
      <c r="C7"/>
      <c r="D7"/>
      <c r="E7"/>
      <c r="F7"/>
      <c r="G7"/>
      <c r="H7"/>
      <c r="I7"/>
      <c r="J7"/>
      <c r="K7"/>
      <c r="L7"/>
      <c r="M7">
        <f t="shared" si="0"/>
        <v>0</v>
      </c>
      <c r="R7" s="2"/>
    </row>
    <row r="8" spans="1:18" x14ac:dyDescent="0.25">
      <c r="A8" s="2"/>
      <c r="B8"/>
      <c r="C8"/>
      <c r="D8"/>
      <c r="E8"/>
      <c r="F8"/>
      <c r="G8"/>
      <c r="H8"/>
      <c r="I8"/>
      <c r="J8"/>
      <c r="K8"/>
      <c r="L8"/>
      <c r="M8">
        <f t="shared" si="0"/>
        <v>0</v>
      </c>
      <c r="P8" s="2"/>
      <c r="R8" s="2"/>
    </row>
    <row r="9" spans="1:18" x14ac:dyDescent="0.25">
      <c r="A9" s="2"/>
      <c r="B9"/>
      <c r="C9"/>
      <c r="D9"/>
      <c r="E9"/>
      <c r="F9"/>
      <c r="G9"/>
      <c r="H9"/>
      <c r="I9"/>
      <c r="J9"/>
      <c r="K9"/>
      <c r="L9"/>
      <c r="M9">
        <f t="shared" si="0"/>
        <v>0</v>
      </c>
      <c r="R9" s="2"/>
    </row>
    <row r="10" spans="1:18" x14ac:dyDescent="0.25">
      <c r="A10" s="2"/>
      <c r="B10"/>
      <c r="C10"/>
      <c r="D10"/>
      <c r="E10"/>
      <c r="F10"/>
      <c r="G10"/>
      <c r="H10"/>
      <c r="I10"/>
      <c r="J10"/>
      <c r="K10"/>
      <c r="L10"/>
      <c r="M10">
        <f t="shared" si="0"/>
        <v>0</v>
      </c>
      <c r="R10" s="2"/>
    </row>
    <row r="11" spans="1:18" x14ac:dyDescent="0.25">
      <c r="A11" s="2"/>
      <c r="B11"/>
      <c r="C11"/>
      <c r="D11"/>
      <c r="E11"/>
      <c r="F11"/>
      <c r="G11"/>
      <c r="H11"/>
      <c r="I11"/>
      <c r="J11"/>
      <c r="K11"/>
      <c r="L11"/>
      <c r="M11">
        <f t="shared" si="0"/>
        <v>0</v>
      </c>
      <c r="R11" s="2"/>
    </row>
    <row r="12" spans="1:18" x14ac:dyDescent="0.25">
      <c r="A12" s="2"/>
      <c r="B12"/>
      <c r="C12"/>
      <c r="D12"/>
      <c r="E12"/>
      <c r="F12"/>
      <c r="G12"/>
      <c r="H12"/>
      <c r="I12"/>
      <c r="J12"/>
      <c r="K12"/>
      <c r="L12"/>
      <c r="M12">
        <f t="shared" si="0"/>
        <v>0</v>
      </c>
      <c r="R12" s="2"/>
    </row>
    <row r="13" spans="1:18" x14ac:dyDescent="0.25">
      <c r="A13" s="2"/>
      <c r="B13"/>
      <c r="C13"/>
      <c r="D13"/>
      <c r="E13"/>
      <c r="F13"/>
      <c r="G13"/>
      <c r="H13"/>
      <c r="I13"/>
      <c r="J13"/>
      <c r="K13"/>
      <c r="L13"/>
      <c r="M13">
        <f t="shared" si="0"/>
        <v>0</v>
      </c>
      <c r="R13" s="2"/>
    </row>
    <row r="14" spans="1:18" x14ac:dyDescent="0.25">
      <c r="A14" s="2"/>
      <c r="B14"/>
      <c r="C14"/>
      <c r="D14"/>
      <c r="E14"/>
      <c r="F14"/>
      <c r="G14"/>
      <c r="H14"/>
      <c r="I14"/>
      <c r="J14"/>
      <c r="K14"/>
      <c r="L14"/>
      <c r="M14">
        <f t="shared" si="0"/>
        <v>0</v>
      </c>
      <c r="R14" s="2"/>
    </row>
    <row r="15" spans="1:18" x14ac:dyDescent="0.25">
      <c r="A15" s="2"/>
      <c r="B15"/>
      <c r="C15"/>
      <c r="D15"/>
      <c r="E15"/>
      <c r="F15"/>
      <c r="G15"/>
      <c r="H15"/>
      <c r="I15"/>
      <c r="J15"/>
      <c r="K15"/>
      <c r="L15"/>
      <c r="M15">
        <f t="shared" si="0"/>
        <v>0</v>
      </c>
      <c r="R15" s="2"/>
    </row>
    <row r="16" spans="1:18" x14ac:dyDescent="0.25">
      <c r="A16" s="2"/>
      <c r="B16"/>
      <c r="C16"/>
      <c r="D16"/>
      <c r="E16"/>
      <c r="F16"/>
      <c r="G16"/>
      <c r="H16"/>
      <c r="I16"/>
      <c r="J16"/>
      <c r="K16"/>
      <c r="L16"/>
      <c r="M16">
        <f t="shared" si="0"/>
        <v>0</v>
      </c>
      <c r="R16" s="2"/>
    </row>
    <row r="17" spans="1:18" x14ac:dyDescent="0.25">
      <c r="A17" s="2"/>
      <c r="B17"/>
      <c r="C17"/>
      <c r="D17"/>
      <c r="E17"/>
      <c r="F17"/>
      <c r="G17"/>
      <c r="H17"/>
      <c r="I17"/>
      <c r="J17"/>
      <c r="K17"/>
      <c r="L17"/>
      <c r="M17">
        <f t="shared" si="0"/>
        <v>0</v>
      </c>
      <c r="R17" s="2"/>
    </row>
    <row r="18" spans="1:18" x14ac:dyDescent="0.25">
      <c r="A18" s="2"/>
      <c r="B18"/>
      <c r="C18"/>
      <c r="D18"/>
      <c r="E18"/>
      <c r="F18"/>
      <c r="G18"/>
      <c r="H18"/>
      <c r="I18"/>
      <c r="J18"/>
      <c r="K18"/>
      <c r="L18"/>
      <c r="M18">
        <f t="shared" si="0"/>
        <v>0</v>
      </c>
      <c r="R18" s="2"/>
    </row>
    <row r="19" spans="1:18" x14ac:dyDescent="0.25">
      <c r="A19" s="2"/>
      <c r="B19"/>
      <c r="C19"/>
      <c r="D19"/>
      <c r="E19"/>
      <c r="F19"/>
      <c r="G19"/>
      <c r="H19"/>
      <c r="I19"/>
      <c r="J19"/>
      <c r="K19"/>
      <c r="L19"/>
      <c r="M19">
        <f t="shared" si="0"/>
        <v>0</v>
      </c>
      <c r="R19" s="2"/>
    </row>
    <row r="20" spans="1:18" x14ac:dyDescent="0.25">
      <c r="A20" s="2"/>
      <c r="B20"/>
      <c r="C20"/>
      <c r="D20"/>
      <c r="E20"/>
      <c r="F20"/>
      <c r="G20"/>
      <c r="H20"/>
      <c r="I20"/>
      <c r="J20"/>
      <c r="K20"/>
      <c r="L20"/>
      <c r="M20">
        <f t="shared" si="0"/>
        <v>0</v>
      </c>
      <c r="R20" s="2"/>
    </row>
    <row r="21" spans="1:18" x14ac:dyDescent="0.25">
      <c r="A21" s="2"/>
      <c r="B21"/>
      <c r="C21"/>
      <c r="D21"/>
      <c r="E21"/>
      <c r="F21"/>
      <c r="G21"/>
      <c r="H21"/>
      <c r="I21"/>
      <c r="J21"/>
      <c r="K21"/>
      <c r="L21"/>
      <c r="M21">
        <f t="shared" si="0"/>
        <v>0</v>
      </c>
    </row>
    <row r="22" spans="1:18" x14ac:dyDescent="0.25">
      <c r="A22" s="2"/>
      <c r="B22"/>
      <c r="C22"/>
      <c r="D22"/>
      <c r="E22"/>
      <c r="F22"/>
      <c r="G22"/>
      <c r="H22"/>
      <c r="I22"/>
      <c r="J22"/>
      <c r="K22"/>
      <c r="L22"/>
      <c r="M22">
        <f t="shared" si="0"/>
        <v>0</v>
      </c>
    </row>
    <row r="23" spans="1:18" x14ac:dyDescent="0.25">
      <c r="A23" s="2"/>
      <c r="B23"/>
      <c r="C23"/>
      <c r="D23"/>
      <c r="E23"/>
      <c r="F23"/>
      <c r="G23"/>
      <c r="H23"/>
      <c r="I23"/>
      <c r="J23"/>
      <c r="K23"/>
      <c r="L23"/>
      <c r="M23">
        <f t="shared" si="0"/>
        <v>0</v>
      </c>
    </row>
    <row r="24" spans="1:18" x14ac:dyDescent="0.25">
      <c r="A24" s="2"/>
      <c r="B24"/>
      <c r="C24"/>
      <c r="D24"/>
      <c r="E24"/>
      <c r="F24"/>
      <c r="G24"/>
      <c r="H24"/>
      <c r="I24"/>
      <c r="J24"/>
      <c r="K24"/>
      <c r="L24"/>
      <c r="M24">
        <f t="shared" si="0"/>
        <v>0</v>
      </c>
    </row>
    <row r="25" spans="1:18" x14ac:dyDescent="0.25">
      <c r="A25" s="2"/>
      <c r="B25"/>
      <c r="C25"/>
      <c r="D25"/>
      <c r="E25"/>
      <c r="F25"/>
      <c r="G25"/>
      <c r="H25"/>
      <c r="I25"/>
      <c r="J25"/>
      <c r="K25"/>
      <c r="L25"/>
      <c r="M25">
        <f t="shared" si="0"/>
        <v>0</v>
      </c>
    </row>
    <row r="26" spans="1:18" x14ac:dyDescent="0.25">
      <c r="A26" s="2"/>
      <c r="B26"/>
      <c r="C26"/>
      <c r="D26"/>
      <c r="E26"/>
      <c r="F26"/>
      <c r="G26"/>
      <c r="H26"/>
      <c r="I26"/>
      <c r="J26"/>
      <c r="K26"/>
      <c r="L26"/>
      <c r="M26">
        <f t="shared" si="0"/>
        <v>0</v>
      </c>
    </row>
    <row r="27" spans="1:18" x14ac:dyDescent="0.25">
      <c r="A27" s="2"/>
      <c r="B27"/>
      <c r="C27"/>
      <c r="D27"/>
      <c r="E27"/>
      <c r="F27"/>
      <c r="G27"/>
      <c r="H27"/>
      <c r="I27"/>
      <c r="J27"/>
      <c r="K27"/>
      <c r="L27"/>
      <c r="M27">
        <f t="shared" si="0"/>
        <v>0</v>
      </c>
    </row>
    <row r="28" spans="1:18" x14ac:dyDescent="0.25">
      <c r="A28" s="2"/>
      <c r="B28"/>
      <c r="C28"/>
      <c r="D28"/>
      <c r="E28"/>
      <c r="F28"/>
      <c r="G28"/>
      <c r="H28"/>
      <c r="I28"/>
      <c r="J28"/>
      <c r="K28"/>
      <c r="L28"/>
      <c r="M28">
        <f t="shared" si="0"/>
        <v>0</v>
      </c>
    </row>
    <row r="29" spans="1:18" x14ac:dyDescent="0.25">
      <c r="A29" s="2"/>
      <c r="B29"/>
      <c r="C29"/>
      <c r="D29"/>
      <c r="E29"/>
      <c r="F29"/>
      <c r="G29"/>
      <c r="H29"/>
      <c r="I29"/>
      <c r="J29"/>
      <c r="K29"/>
      <c r="L29"/>
      <c r="M29">
        <f t="shared" si="0"/>
        <v>1</v>
      </c>
    </row>
    <row r="30" spans="1:18" x14ac:dyDescent="0.25">
      <c r="A30" s="2"/>
      <c r="B30"/>
      <c r="C30"/>
      <c r="D30"/>
      <c r="E30"/>
      <c r="F30"/>
      <c r="G30"/>
      <c r="H30"/>
      <c r="I30"/>
      <c r="J30"/>
      <c r="K30"/>
      <c r="L30"/>
      <c r="M30">
        <f t="shared" si="0"/>
        <v>1</v>
      </c>
    </row>
    <row r="31" spans="1:18" x14ac:dyDescent="0.25">
      <c r="A31" s="2"/>
      <c r="B31"/>
      <c r="C31"/>
      <c r="D31"/>
      <c r="E31"/>
      <c r="F31"/>
      <c r="G31"/>
      <c r="H31"/>
      <c r="I31"/>
      <c r="J31"/>
      <c r="K31"/>
      <c r="L31"/>
      <c r="M31">
        <f t="shared" si="0"/>
        <v>1</v>
      </c>
    </row>
    <row r="32" spans="1:18" x14ac:dyDescent="0.25">
      <c r="A32" s="2"/>
      <c r="B32"/>
      <c r="C32"/>
      <c r="D32"/>
      <c r="E32"/>
      <c r="F32"/>
      <c r="G32"/>
      <c r="H32"/>
      <c r="I32"/>
      <c r="J32"/>
      <c r="K32"/>
      <c r="L32"/>
      <c r="M32">
        <f t="shared" si="0"/>
        <v>0</v>
      </c>
    </row>
    <row r="33" spans="1:13" x14ac:dyDescent="0.25">
      <c r="A33" s="2"/>
      <c r="B33"/>
      <c r="C33"/>
      <c r="D33"/>
      <c r="E33"/>
      <c r="F33"/>
      <c r="G33"/>
      <c r="H33"/>
      <c r="I33"/>
      <c r="J33"/>
      <c r="K33"/>
      <c r="L33"/>
      <c r="M33">
        <f t="shared" si="0"/>
        <v>0</v>
      </c>
    </row>
    <row r="34" spans="1:13" x14ac:dyDescent="0.25">
      <c r="A34" s="2"/>
      <c r="B34"/>
      <c r="C34"/>
      <c r="D34"/>
      <c r="E34"/>
      <c r="F34"/>
      <c r="G34"/>
      <c r="H34"/>
      <c r="I34"/>
      <c r="J34"/>
      <c r="K34"/>
      <c r="L34"/>
      <c r="M34">
        <f t="shared" si="0"/>
        <v>0</v>
      </c>
    </row>
    <row r="35" spans="1:13" x14ac:dyDescent="0.25">
      <c r="A35" s="2"/>
      <c r="B35"/>
      <c r="C35"/>
      <c r="D35"/>
      <c r="E35"/>
      <c r="F35"/>
      <c r="G35"/>
      <c r="H35"/>
      <c r="I35"/>
      <c r="J35"/>
      <c r="K35"/>
      <c r="L35"/>
      <c r="M35">
        <f t="shared" si="0"/>
        <v>0</v>
      </c>
    </row>
    <row r="36" spans="1:13" x14ac:dyDescent="0.25">
      <c r="A36" s="2"/>
      <c r="B36"/>
      <c r="C36"/>
      <c r="D36"/>
      <c r="E36"/>
      <c r="F36"/>
      <c r="G36"/>
      <c r="H36"/>
      <c r="I36"/>
      <c r="J36"/>
      <c r="K36"/>
      <c r="L36"/>
      <c r="M36">
        <f t="shared" si="0"/>
        <v>0</v>
      </c>
    </row>
    <row r="37" spans="1:13" x14ac:dyDescent="0.25">
      <c r="A37" s="2"/>
      <c r="B37"/>
      <c r="C37"/>
      <c r="D37"/>
      <c r="E37"/>
      <c r="F37"/>
      <c r="G37"/>
      <c r="H37"/>
      <c r="I37"/>
      <c r="J37"/>
      <c r="K37"/>
      <c r="L37"/>
      <c r="M37">
        <f t="shared" si="0"/>
        <v>0</v>
      </c>
    </row>
    <row r="38" spans="1:13" x14ac:dyDescent="0.25">
      <c r="A38" s="2"/>
      <c r="B38"/>
      <c r="C38"/>
      <c r="D38"/>
      <c r="E38"/>
      <c r="F38"/>
      <c r="G38"/>
      <c r="H38"/>
      <c r="I38"/>
      <c r="J38"/>
      <c r="K38"/>
      <c r="L38"/>
      <c r="M38">
        <f t="shared" si="0"/>
        <v>0</v>
      </c>
    </row>
    <row r="39" spans="1:13" x14ac:dyDescent="0.25">
      <c r="A39" s="2"/>
      <c r="B39"/>
      <c r="C39"/>
      <c r="D39"/>
      <c r="E39"/>
      <c r="F39"/>
      <c r="G39"/>
      <c r="H39"/>
      <c r="I39"/>
      <c r="J39"/>
      <c r="K39"/>
      <c r="L39"/>
      <c r="M39">
        <f t="shared" si="0"/>
        <v>0</v>
      </c>
    </row>
    <row r="40" spans="1:13" x14ac:dyDescent="0.25">
      <c r="A40" s="2"/>
      <c r="B40"/>
      <c r="C40"/>
      <c r="D40"/>
      <c r="E40"/>
      <c r="F40"/>
      <c r="G40"/>
      <c r="H40"/>
      <c r="I40"/>
      <c r="J40"/>
      <c r="K40"/>
      <c r="L40"/>
      <c r="M40">
        <f t="shared" si="0"/>
        <v>0</v>
      </c>
    </row>
    <row r="41" spans="1:13" x14ac:dyDescent="0.25">
      <c r="A41" s="2"/>
      <c r="B41"/>
      <c r="C41"/>
      <c r="D41"/>
      <c r="E41"/>
      <c r="F41"/>
      <c r="G41"/>
      <c r="H41"/>
      <c r="I41"/>
      <c r="J41"/>
      <c r="K41"/>
      <c r="L41"/>
      <c r="M41">
        <f t="shared" si="0"/>
        <v>0</v>
      </c>
    </row>
    <row r="42" spans="1:13" x14ac:dyDescent="0.25">
      <c r="A42" s="2"/>
      <c r="B42"/>
      <c r="C42"/>
      <c r="D42"/>
      <c r="E42"/>
      <c r="F42"/>
      <c r="G42"/>
      <c r="H42"/>
      <c r="I42"/>
      <c r="J42"/>
      <c r="K42"/>
      <c r="L42"/>
      <c r="M42">
        <f t="shared" si="0"/>
        <v>0</v>
      </c>
    </row>
    <row r="43" spans="1:13" x14ac:dyDescent="0.25">
      <c r="A43" s="2"/>
      <c r="B43"/>
      <c r="C43"/>
      <c r="D43"/>
      <c r="E43"/>
      <c r="F43"/>
      <c r="G43"/>
      <c r="H43"/>
      <c r="I43"/>
      <c r="J43"/>
      <c r="K43"/>
      <c r="L43"/>
      <c r="M43">
        <f t="shared" si="0"/>
        <v>0</v>
      </c>
    </row>
    <row r="44" spans="1:13" x14ac:dyDescent="0.25">
      <c r="A44" s="2"/>
      <c r="B44"/>
      <c r="C44"/>
      <c r="D44"/>
      <c r="E44"/>
      <c r="F44"/>
      <c r="G44"/>
      <c r="H44"/>
      <c r="I44"/>
      <c r="J44"/>
      <c r="K44"/>
      <c r="L44"/>
      <c r="M44">
        <f t="shared" si="0"/>
        <v>0</v>
      </c>
    </row>
    <row r="45" spans="1:13" x14ac:dyDescent="0.25">
      <c r="A45" s="2"/>
      <c r="B45"/>
      <c r="C45"/>
      <c r="D45"/>
      <c r="E45"/>
      <c r="F45"/>
      <c r="G45"/>
      <c r="H45"/>
      <c r="I45"/>
      <c r="J45"/>
      <c r="K45"/>
      <c r="L45"/>
      <c r="M45">
        <f t="shared" si="0"/>
        <v>0</v>
      </c>
    </row>
    <row r="46" spans="1:13" x14ac:dyDescent="0.25">
      <c r="A46" s="2"/>
      <c r="B46"/>
      <c r="C46"/>
      <c r="D46"/>
      <c r="E46"/>
      <c r="F46"/>
      <c r="G46"/>
      <c r="H46"/>
      <c r="I46"/>
      <c r="J46"/>
      <c r="K46"/>
      <c r="L46"/>
      <c r="M46">
        <f t="shared" si="0"/>
        <v>0</v>
      </c>
    </row>
    <row r="47" spans="1:13" x14ac:dyDescent="0.25">
      <c r="A47" s="2"/>
      <c r="B47"/>
      <c r="C47"/>
      <c r="D47"/>
      <c r="E47"/>
      <c r="F47"/>
      <c r="G47"/>
      <c r="H47"/>
      <c r="I47"/>
      <c r="J47"/>
      <c r="K47"/>
      <c r="L47"/>
      <c r="M47">
        <f t="shared" si="0"/>
        <v>0</v>
      </c>
    </row>
    <row r="48" spans="1:13" x14ac:dyDescent="0.25">
      <c r="A48" s="2"/>
      <c r="B48"/>
      <c r="C48"/>
      <c r="D48"/>
      <c r="E48"/>
      <c r="F48"/>
      <c r="G48"/>
      <c r="H48"/>
      <c r="I48"/>
      <c r="J48"/>
      <c r="K48"/>
      <c r="L48"/>
      <c r="M48">
        <f t="shared" si="0"/>
        <v>0</v>
      </c>
    </row>
    <row r="49" spans="1:13" x14ac:dyDescent="0.25">
      <c r="A49" s="2"/>
      <c r="B49"/>
      <c r="C49"/>
      <c r="D49"/>
      <c r="E49"/>
      <c r="F49"/>
      <c r="G49"/>
      <c r="H49"/>
      <c r="I49"/>
      <c r="J49"/>
      <c r="K49"/>
      <c r="L49"/>
      <c r="M49">
        <f t="shared" si="0"/>
        <v>0</v>
      </c>
    </row>
    <row r="50" spans="1:13" x14ac:dyDescent="0.25">
      <c r="A50" s="2"/>
      <c r="B50"/>
      <c r="C50"/>
      <c r="D50"/>
      <c r="E50"/>
      <c r="F50"/>
      <c r="G50"/>
      <c r="H50"/>
      <c r="I50"/>
      <c r="J50"/>
      <c r="K50"/>
      <c r="L50"/>
      <c r="M50">
        <f t="shared" si="0"/>
        <v>0</v>
      </c>
    </row>
    <row r="51" spans="1:13" x14ac:dyDescent="0.25">
      <c r="A51" s="2"/>
      <c r="B51"/>
      <c r="C51"/>
      <c r="D51"/>
      <c r="E51"/>
      <c r="F51"/>
      <c r="G51"/>
      <c r="H51"/>
      <c r="I51"/>
      <c r="J51"/>
      <c r="K51"/>
      <c r="L51"/>
      <c r="M51">
        <f t="shared" si="0"/>
        <v>0</v>
      </c>
    </row>
    <row r="52" spans="1:13" x14ac:dyDescent="0.25">
      <c r="A52" s="2"/>
      <c r="B52"/>
      <c r="C52"/>
      <c r="D52"/>
      <c r="E52"/>
      <c r="F52"/>
      <c r="G52"/>
      <c r="H52"/>
      <c r="I52"/>
      <c r="J52"/>
      <c r="K52"/>
      <c r="L52"/>
      <c r="M52">
        <f t="shared" si="0"/>
        <v>0</v>
      </c>
    </row>
    <row r="53" spans="1:13" x14ac:dyDescent="0.25">
      <c r="A53" s="2"/>
      <c r="B53"/>
      <c r="C53"/>
      <c r="D53"/>
      <c r="E53"/>
      <c r="F53"/>
      <c r="G53"/>
      <c r="H53"/>
      <c r="I53"/>
      <c r="J53"/>
      <c r="K53"/>
      <c r="L53"/>
      <c r="M53">
        <f t="shared" si="0"/>
        <v>0</v>
      </c>
    </row>
    <row r="54" spans="1:13" x14ac:dyDescent="0.25">
      <c r="A54" s="2"/>
      <c r="B54"/>
      <c r="C54"/>
      <c r="D54"/>
      <c r="E54"/>
      <c r="F54"/>
      <c r="G54"/>
      <c r="H54"/>
      <c r="I54"/>
      <c r="J54"/>
      <c r="K54"/>
      <c r="L54"/>
      <c r="M54">
        <f t="shared" si="0"/>
        <v>0</v>
      </c>
    </row>
    <row r="55" spans="1:13" x14ac:dyDescent="0.25">
      <c r="A55" s="2"/>
      <c r="B55"/>
      <c r="C55"/>
      <c r="D55"/>
      <c r="E55"/>
      <c r="F55"/>
      <c r="G55"/>
      <c r="H55"/>
      <c r="I55"/>
      <c r="J55"/>
      <c r="K55"/>
      <c r="L55"/>
      <c r="M55">
        <f t="shared" si="0"/>
        <v>0</v>
      </c>
    </row>
    <row r="56" spans="1:13" x14ac:dyDescent="0.25">
      <c r="A56" s="2"/>
      <c r="B56"/>
      <c r="C56"/>
      <c r="D56"/>
      <c r="E56"/>
      <c r="F56"/>
      <c r="G56"/>
      <c r="H56"/>
      <c r="I56"/>
      <c r="J56"/>
      <c r="K56"/>
      <c r="L56"/>
      <c r="M56">
        <f t="shared" si="0"/>
        <v>0</v>
      </c>
    </row>
    <row r="57" spans="1:13" x14ac:dyDescent="0.25">
      <c r="A57" s="2"/>
      <c r="B57"/>
      <c r="C57"/>
      <c r="D57"/>
      <c r="E57"/>
      <c r="F57"/>
      <c r="G57"/>
      <c r="H57"/>
      <c r="I57"/>
      <c r="J57"/>
      <c r="K57"/>
      <c r="L57"/>
      <c r="M57">
        <f t="shared" si="0"/>
        <v>0</v>
      </c>
    </row>
    <row r="58" spans="1:13" x14ac:dyDescent="0.25">
      <c r="A58" s="2"/>
      <c r="B58"/>
      <c r="C58"/>
      <c r="D58"/>
      <c r="E58"/>
      <c r="F58"/>
      <c r="G58"/>
      <c r="H58"/>
      <c r="I58"/>
      <c r="J58"/>
      <c r="K58"/>
      <c r="L58"/>
      <c r="M58">
        <f t="shared" si="0"/>
        <v>0</v>
      </c>
    </row>
    <row r="59" spans="1:13" x14ac:dyDescent="0.25">
      <c r="A59" s="2"/>
      <c r="B59"/>
      <c r="C59"/>
      <c r="D59"/>
      <c r="E59"/>
      <c r="F59"/>
      <c r="G59"/>
      <c r="H59"/>
      <c r="I59"/>
      <c r="J59"/>
      <c r="K59"/>
      <c r="L59"/>
      <c r="M59">
        <f t="shared" si="0"/>
        <v>0</v>
      </c>
    </row>
    <row r="60" spans="1:13" x14ac:dyDescent="0.25">
      <c r="A60" s="2"/>
      <c r="B60"/>
      <c r="C60"/>
      <c r="D60"/>
      <c r="E60"/>
      <c r="F60"/>
      <c r="G60"/>
      <c r="H60"/>
      <c r="I60"/>
      <c r="J60"/>
      <c r="K60"/>
      <c r="L60"/>
      <c r="M60">
        <f t="shared" si="0"/>
        <v>0</v>
      </c>
    </row>
    <row r="61" spans="1:13" x14ac:dyDescent="0.25">
      <c r="A61" s="2"/>
      <c r="B61"/>
      <c r="C61"/>
      <c r="D61"/>
      <c r="E61"/>
      <c r="F61"/>
      <c r="G61"/>
      <c r="H61"/>
      <c r="I61"/>
      <c r="J61"/>
      <c r="K61"/>
      <c r="L61"/>
      <c r="M61">
        <f t="shared" si="0"/>
        <v>0</v>
      </c>
    </row>
    <row r="62" spans="1:13" x14ac:dyDescent="0.25">
      <c r="A62" s="2"/>
      <c r="B62"/>
      <c r="C62"/>
      <c r="D62"/>
      <c r="E62"/>
      <c r="F62"/>
      <c r="G62"/>
      <c r="H62"/>
      <c r="I62"/>
      <c r="J62"/>
      <c r="K62"/>
      <c r="L62"/>
      <c r="M62">
        <f t="shared" si="0"/>
        <v>0</v>
      </c>
    </row>
    <row r="63" spans="1:13" x14ac:dyDescent="0.25">
      <c r="A63" s="2"/>
      <c r="B63"/>
      <c r="C63"/>
      <c r="D63"/>
      <c r="E63"/>
      <c r="F63"/>
      <c r="G63"/>
      <c r="H63"/>
      <c r="I63"/>
      <c r="J63"/>
      <c r="K63"/>
      <c r="L63"/>
      <c r="M63">
        <f t="shared" si="0"/>
        <v>0</v>
      </c>
    </row>
    <row r="64" spans="1:13" x14ac:dyDescent="0.25">
      <c r="A64" s="2"/>
      <c r="B64"/>
      <c r="C64"/>
      <c r="D64"/>
      <c r="E64"/>
      <c r="F64"/>
      <c r="G64"/>
      <c r="H64"/>
      <c r="I64"/>
      <c r="J64"/>
      <c r="K64"/>
      <c r="L64"/>
      <c r="M64">
        <f t="shared" si="0"/>
        <v>0</v>
      </c>
    </row>
    <row r="65" spans="1:13" x14ac:dyDescent="0.25">
      <c r="A65" s="2"/>
      <c r="B65"/>
      <c r="C65"/>
      <c r="D65"/>
      <c r="E65"/>
      <c r="F65"/>
      <c r="G65"/>
      <c r="H65"/>
      <c r="I65"/>
      <c r="J65"/>
      <c r="K65"/>
      <c r="L65"/>
      <c r="M65">
        <f t="shared" si="0"/>
        <v>0</v>
      </c>
    </row>
    <row r="66" spans="1:13" x14ac:dyDescent="0.25">
      <c r="A66" s="2"/>
      <c r="B66"/>
      <c r="C66"/>
      <c r="D66"/>
      <c r="E66"/>
      <c r="F66"/>
      <c r="G66"/>
      <c r="H66"/>
      <c r="I66"/>
      <c r="J66"/>
      <c r="K66"/>
      <c r="L66"/>
      <c r="M66">
        <f t="shared" si="0"/>
        <v>0</v>
      </c>
    </row>
    <row r="67" spans="1:13" x14ac:dyDescent="0.25">
      <c r="A67" s="2"/>
      <c r="B67"/>
      <c r="C67"/>
      <c r="D67"/>
      <c r="E67"/>
      <c r="F67"/>
      <c r="G67"/>
      <c r="H67"/>
      <c r="I67"/>
      <c r="J67"/>
      <c r="K67"/>
      <c r="L67"/>
      <c r="M67">
        <f>3-H67</f>
        <v>0</v>
      </c>
    </row>
    <row r="68" spans="1:13" x14ac:dyDescent="0.25">
      <c r="A68" s="2"/>
      <c r="B68"/>
      <c r="C68"/>
      <c r="D68"/>
      <c r="E68"/>
      <c r="F68"/>
      <c r="G68"/>
      <c r="H68"/>
      <c r="I68"/>
      <c r="J68"/>
      <c r="K68"/>
      <c r="L68"/>
      <c r="M68">
        <f t="shared" ref="M68:M74" si="1">3-H68</f>
        <v>0</v>
      </c>
    </row>
    <row r="69" spans="1:13" x14ac:dyDescent="0.25">
      <c r="A69" s="2"/>
      <c r="B69"/>
      <c r="C69"/>
      <c r="D69"/>
      <c r="E69"/>
      <c r="F69"/>
      <c r="G69"/>
      <c r="H69"/>
      <c r="I69"/>
      <c r="J69"/>
      <c r="K69"/>
      <c r="L69"/>
      <c r="M69">
        <f t="shared" si="1"/>
        <v>0</v>
      </c>
    </row>
    <row r="70" spans="1:13" x14ac:dyDescent="0.25">
      <c r="A70" s="2"/>
      <c r="B70"/>
      <c r="C70"/>
      <c r="D70"/>
      <c r="E70"/>
      <c r="F70"/>
      <c r="G70"/>
      <c r="H70"/>
      <c r="I70"/>
      <c r="J70"/>
      <c r="K70"/>
      <c r="L70"/>
      <c r="M70">
        <f t="shared" si="1"/>
        <v>0</v>
      </c>
    </row>
    <row r="71" spans="1:13" x14ac:dyDescent="0.25">
      <c r="A71" s="2"/>
      <c r="B71"/>
      <c r="C71"/>
      <c r="D71"/>
      <c r="E71"/>
      <c r="F71"/>
      <c r="G71"/>
      <c r="H71"/>
      <c r="I71"/>
      <c r="J71"/>
      <c r="K71"/>
      <c r="L71"/>
      <c r="M71">
        <f t="shared" si="1"/>
        <v>0</v>
      </c>
    </row>
    <row r="72" spans="1:13" x14ac:dyDescent="0.25">
      <c r="A72" s="2"/>
      <c r="B72"/>
      <c r="C72"/>
      <c r="D72"/>
      <c r="E72"/>
      <c r="F72"/>
      <c r="G72"/>
      <c r="H72"/>
      <c r="I72"/>
      <c r="J72"/>
      <c r="K72"/>
      <c r="L72"/>
      <c r="M72">
        <f t="shared" si="1"/>
        <v>1</v>
      </c>
    </row>
    <row r="73" spans="1:13" x14ac:dyDescent="0.25">
      <c r="A73" s="2"/>
      <c r="B73"/>
      <c r="C73"/>
      <c r="D73"/>
      <c r="E73"/>
      <c r="F73"/>
      <c r="G73"/>
      <c r="H73"/>
      <c r="I73"/>
      <c r="J73"/>
      <c r="K73"/>
      <c r="L73"/>
      <c r="M73">
        <f t="shared" si="1"/>
        <v>1</v>
      </c>
    </row>
    <row r="74" spans="1:13" x14ac:dyDescent="0.25">
      <c r="A74" s="2"/>
      <c r="M74">
        <f t="shared" si="1"/>
        <v>3</v>
      </c>
    </row>
    <row r="75" spans="1:13" x14ac:dyDescent="0.25">
      <c r="A75" s="2"/>
      <c r="M75">
        <f t="shared" ref="M75:M98" si="2">3-H81</f>
        <v>3</v>
      </c>
    </row>
    <row r="76" spans="1:13" x14ac:dyDescent="0.25">
      <c r="A76" s="2"/>
      <c r="M76">
        <f t="shared" si="2"/>
        <v>3</v>
      </c>
    </row>
    <row r="77" spans="1:13" x14ac:dyDescent="0.25">
      <c r="A77" s="2"/>
      <c r="M77">
        <f t="shared" si="2"/>
        <v>3</v>
      </c>
    </row>
    <row r="78" spans="1:13" x14ac:dyDescent="0.25">
      <c r="A78" s="2"/>
      <c r="M78">
        <f t="shared" si="2"/>
        <v>3</v>
      </c>
    </row>
    <row r="79" spans="1:13" x14ac:dyDescent="0.25">
      <c r="A79" s="2"/>
      <c r="M79">
        <f t="shared" si="2"/>
        <v>3</v>
      </c>
    </row>
    <row r="80" spans="1:13" x14ac:dyDescent="0.25">
      <c r="M80">
        <f t="shared" si="2"/>
        <v>3</v>
      </c>
    </row>
    <row r="81" spans="13:13" x14ac:dyDescent="0.25">
      <c r="M81">
        <f t="shared" si="2"/>
        <v>3</v>
      </c>
    </row>
    <row r="82" spans="13:13" x14ac:dyDescent="0.25">
      <c r="M82">
        <f t="shared" si="2"/>
        <v>3</v>
      </c>
    </row>
    <row r="83" spans="13:13" x14ac:dyDescent="0.25">
      <c r="M83">
        <f t="shared" si="2"/>
        <v>3</v>
      </c>
    </row>
    <row r="84" spans="13:13" x14ac:dyDescent="0.25">
      <c r="M84">
        <f t="shared" si="2"/>
        <v>3</v>
      </c>
    </row>
    <row r="85" spans="13:13" x14ac:dyDescent="0.25">
      <c r="M85">
        <f t="shared" si="2"/>
        <v>3</v>
      </c>
    </row>
    <row r="86" spans="13:13" x14ac:dyDescent="0.25">
      <c r="M86">
        <f t="shared" si="2"/>
        <v>3</v>
      </c>
    </row>
    <row r="87" spans="13:13" x14ac:dyDescent="0.25">
      <c r="M87">
        <f t="shared" si="2"/>
        <v>3</v>
      </c>
    </row>
    <row r="88" spans="13:13" x14ac:dyDescent="0.25">
      <c r="M88">
        <f t="shared" si="2"/>
        <v>3</v>
      </c>
    </row>
    <row r="89" spans="13:13" x14ac:dyDescent="0.25">
      <c r="M89">
        <f t="shared" si="2"/>
        <v>3</v>
      </c>
    </row>
    <row r="90" spans="13:13" x14ac:dyDescent="0.25">
      <c r="M90">
        <f t="shared" si="2"/>
        <v>3</v>
      </c>
    </row>
    <row r="91" spans="13:13" x14ac:dyDescent="0.25">
      <c r="M91">
        <f t="shared" si="2"/>
        <v>3</v>
      </c>
    </row>
    <row r="92" spans="13:13" x14ac:dyDescent="0.25">
      <c r="M92">
        <f t="shared" si="2"/>
        <v>3</v>
      </c>
    </row>
    <row r="93" spans="13:13" x14ac:dyDescent="0.25">
      <c r="M93">
        <f t="shared" si="2"/>
        <v>3</v>
      </c>
    </row>
    <row r="94" spans="13:13" x14ac:dyDescent="0.25">
      <c r="M94">
        <f t="shared" si="2"/>
        <v>3</v>
      </c>
    </row>
    <row r="95" spans="13:13" x14ac:dyDescent="0.25">
      <c r="M95">
        <f t="shared" si="2"/>
        <v>3</v>
      </c>
    </row>
    <row r="96" spans="13:13" x14ac:dyDescent="0.25">
      <c r="M96">
        <f t="shared" si="2"/>
        <v>3</v>
      </c>
    </row>
    <row r="97" spans="13:13" x14ac:dyDescent="0.25">
      <c r="M97">
        <f t="shared" si="2"/>
        <v>3</v>
      </c>
    </row>
    <row r="98" spans="13:13" x14ac:dyDescent="0.25">
      <c r="M98">
        <f t="shared" si="2"/>
        <v>3</v>
      </c>
    </row>
    <row r="99" spans="13:13" x14ac:dyDescent="0.25">
      <c r="M99">
        <f t="shared" ref="M99:M114" si="3">3-H123</f>
        <v>3</v>
      </c>
    </row>
    <row r="100" spans="13:13" x14ac:dyDescent="0.25">
      <c r="M100">
        <f t="shared" si="3"/>
        <v>3</v>
      </c>
    </row>
    <row r="101" spans="13:13" x14ac:dyDescent="0.25">
      <c r="M101">
        <f t="shared" si="3"/>
        <v>3</v>
      </c>
    </row>
    <row r="102" spans="13:13" x14ac:dyDescent="0.25">
      <c r="M102">
        <f t="shared" si="3"/>
        <v>3</v>
      </c>
    </row>
    <row r="103" spans="13:13" x14ac:dyDescent="0.25">
      <c r="M103">
        <f t="shared" si="3"/>
        <v>3</v>
      </c>
    </row>
    <row r="104" spans="13:13" x14ac:dyDescent="0.25">
      <c r="M104">
        <f t="shared" si="3"/>
        <v>3</v>
      </c>
    </row>
    <row r="105" spans="13:13" x14ac:dyDescent="0.25">
      <c r="M105">
        <f t="shared" si="3"/>
        <v>3</v>
      </c>
    </row>
    <row r="106" spans="13:13" x14ac:dyDescent="0.25">
      <c r="M106">
        <f t="shared" si="3"/>
        <v>3</v>
      </c>
    </row>
    <row r="107" spans="13:13" x14ac:dyDescent="0.25">
      <c r="M107">
        <f t="shared" si="3"/>
        <v>3</v>
      </c>
    </row>
    <row r="108" spans="13:13" x14ac:dyDescent="0.25">
      <c r="M108">
        <f t="shared" si="3"/>
        <v>3</v>
      </c>
    </row>
    <row r="109" spans="13:13" x14ac:dyDescent="0.25">
      <c r="M109">
        <f t="shared" si="3"/>
        <v>3</v>
      </c>
    </row>
    <row r="110" spans="13:13" x14ac:dyDescent="0.25">
      <c r="M110">
        <f t="shared" si="3"/>
        <v>3</v>
      </c>
    </row>
    <row r="111" spans="13:13" x14ac:dyDescent="0.25">
      <c r="M111">
        <f t="shared" si="3"/>
        <v>3</v>
      </c>
    </row>
    <row r="112" spans="13:13" x14ac:dyDescent="0.25">
      <c r="M112">
        <f t="shared" si="3"/>
        <v>3</v>
      </c>
    </row>
    <row r="113" spans="13:13" x14ac:dyDescent="0.25">
      <c r="M113">
        <f t="shared" si="3"/>
        <v>3</v>
      </c>
    </row>
    <row r="114" spans="13:13" x14ac:dyDescent="0.25">
      <c r="M114">
        <f t="shared" si="3"/>
        <v>3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6" r:id="rId4" name="CommandButton22">
          <controlPr defaultSize="0" autoLine="0" r:id="rId5">
            <anchor moveWithCells="1">
              <from>
                <xdr:col>14</xdr:col>
                <xdr:colOff>419100</xdr:colOff>
                <xdr:row>3</xdr:row>
                <xdr:rowOff>123825</xdr:rowOff>
              </from>
              <to>
                <xdr:col>16</xdr:col>
                <xdr:colOff>9525</xdr:colOff>
                <xdr:row>5</xdr:row>
                <xdr:rowOff>47625</xdr:rowOff>
              </to>
            </anchor>
          </controlPr>
        </control>
      </mc:Choice>
      <mc:Fallback>
        <control shapeId="13316" r:id="rId4" name="CommandButton22"/>
      </mc:Fallback>
    </mc:AlternateContent>
    <mc:AlternateContent xmlns:mc="http://schemas.openxmlformats.org/markup-compatibility/2006">
      <mc:Choice Requires="x14">
        <control shapeId="13315" r:id="rId6" name="CommandButton21">
          <controlPr defaultSize="0" autoLine="0" r:id="rId7">
            <anchor moveWithCells="1">
              <from>
                <xdr:col>14</xdr:col>
                <xdr:colOff>438150</xdr:colOff>
                <xdr:row>1</xdr:row>
                <xdr:rowOff>0</xdr:rowOff>
              </from>
              <to>
                <xdr:col>16</xdr:col>
                <xdr:colOff>66675</xdr:colOff>
                <xdr:row>2</xdr:row>
                <xdr:rowOff>133350</xdr:rowOff>
              </to>
            </anchor>
          </controlPr>
        </control>
      </mc:Choice>
      <mc:Fallback>
        <control shapeId="13315" r:id="rId6" name="CommandButton2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11"/>
  <dimension ref="A3:A4"/>
  <sheetViews>
    <sheetView topLeftCell="H1" workbookViewId="0">
      <selection activeCell="F16" sqref="F16:H17"/>
    </sheetView>
  </sheetViews>
  <sheetFormatPr defaultRowHeight="15" x14ac:dyDescent="0.25"/>
  <cols>
    <col min="1" max="1" width="14.5703125" customWidth="1"/>
    <col min="2" max="2" width="4" customWidth="1"/>
    <col min="3" max="3" width="10.7109375" customWidth="1"/>
    <col min="4" max="7" width="14.5703125" bestFit="1" customWidth="1"/>
  </cols>
  <sheetData>
    <row r="3" spans="1:1" x14ac:dyDescent="0.25">
      <c r="A3" t="s">
        <v>33</v>
      </c>
    </row>
    <row r="4" spans="1:1" x14ac:dyDescent="0.25">
      <c r="A4" s="3">
        <v>30</v>
      </c>
    </row>
  </sheetData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12"/>
  <dimension ref="B3:H16"/>
  <sheetViews>
    <sheetView workbookViewId="0">
      <selection activeCell="B3" sqref="B3:H16"/>
    </sheetView>
  </sheetViews>
  <sheetFormatPr defaultRowHeight="15" x14ac:dyDescent="0.25"/>
  <sheetData>
    <row r="3" spans="2:8" x14ac:dyDescent="0.25">
      <c r="B3" s="10" t="s">
        <v>0</v>
      </c>
      <c r="C3" s="10" t="s">
        <v>49</v>
      </c>
      <c r="D3" s="10" t="s">
        <v>50</v>
      </c>
      <c r="E3" s="10" t="s">
        <v>51</v>
      </c>
      <c r="F3" s="10" t="s">
        <v>52</v>
      </c>
      <c r="G3" s="10" t="s">
        <v>53</v>
      </c>
      <c r="H3" s="10" t="s">
        <v>54</v>
      </c>
    </row>
    <row r="4" spans="2:8" x14ac:dyDescent="0.25">
      <c r="B4" s="9" t="s">
        <v>38</v>
      </c>
      <c r="C4">
        <v>10</v>
      </c>
      <c r="D4">
        <v>35</v>
      </c>
      <c r="E4">
        <v>95</v>
      </c>
      <c r="F4">
        <v>185</v>
      </c>
      <c r="G4">
        <v>295</v>
      </c>
      <c r="H4">
        <v>445</v>
      </c>
    </row>
    <row r="5" spans="2:8" x14ac:dyDescent="0.25">
      <c r="B5" s="9" t="s">
        <v>39</v>
      </c>
      <c r="C5">
        <v>30</v>
      </c>
      <c r="D5">
        <v>55</v>
      </c>
      <c r="E5">
        <v>110</v>
      </c>
      <c r="F5">
        <v>200</v>
      </c>
      <c r="G5">
        <v>320</v>
      </c>
      <c r="H5">
        <v>470</v>
      </c>
    </row>
    <row r="6" spans="2:8" x14ac:dyDescent="0.25">
      <c r="B6" s="9" t="s">
        <v>40</v>
      </c>
      <c r="C6">
        <v>30</v>
      </c>
      <c r="D6">
        <v>55</v>
      </c>
      <c r="E6">
        <v>110</v>
      </c>
      <c r="F6">
        <v>200</v>
      </c>
      <c r="G6">
        <v>320</v>
      </c>
      <c r="H6">
        <v>470</v>
      </c>
    </row>
    <row r="7" spans="2:8" x14ac:dyDescent="0.25">
      <c r="B7" s="9" t="s">
        <v>41</v>
      </c>
      <c r="C7">
        <v>30</v>
      </c>
      <c r="D7">
        <v>55</v>
      </c>
      <c r="E7">
        <v>110</v>
      </c>
      <c r="F7">
        <v>200</v>
      </c>
      <c r="G7">
        <v>320</v>
      </c>
      <c r="H7">
        <v>470</v>
      </c>
    </row>
    <row r="8" spans="2:8" x14ac:dyDescent="0.25">
      <c r="B8" s="9" t="s">
        <v>42</v>
      </c>
      <c r="C8">
        <v>30</v>
      </c>
      <c r="D8">
        <v>55</v>
      </c>
      <c r="E8">
        <v>110</v>
      </c>
      <c r="F8">
        <v>200</v>
      </c>
      <c r="G8">
        <v>320</v>
      </c>
      <c r="H8">
        <v>470</v>
      </c>
    </row>
    <row r="9" spans="2:8" x14ac:dyDescent="0.25">
      <c r="B9" s="9" t="s">
        <v>42</v>
      </c>
      <c r="C9">
        <v>30</v>
      </c>
      <c r="D9">
        <v>55</v>
      </c>
      <c r="E9">
        <v>110</v>
      </c>
      <c r="F9">
        <v>200</v>
      </c>
      <c r="G9">
        <v>320</v>
      </c>
      <c r="H9">
        <v>470</v>
      </c>
    </row>
    <row r="10" spans="2:8" x14ac:dyDescent="0.25">
      <c r="B10" s="9" t="s">
        <v>43</v>
      </c>
      <c r="C10">
        <v>20</v>
      </c>
      <c r="D10">
        <v>45</v>
      </c>
      <c r="E10">
        <v>105</v>
      </c>
      <c r="F10">
        <v>195</v>
      </c>
      <c r="G10">
        <v>310</v>
      </c>
      <c r="H10">
        <v>455</v>
      </c>
    </row>
    <row r="11" spans="2:8" x14ac:dyDescent="0.25">
      <c r="B11" s="9" t="s">
        <v>44</v>
      </c>
      <c r="C11">
        <v>30</v>
      </c>
      <c r="D11">
        <v>60</v>
      </c>
      <c r="E11">
        <v>120</v>
      </c>
      <c r="F11">
        <v>200</v>
      </c>
      <c r="G11">
        <v>305</v>
      </c>
      <c r="H11">
        <v>440</v>
      </c>
    </row>
    <row r="12" spans="2:8" x14ac:dyDescent="0.25">
      <c r="B12" s="9" t="s">
        <v>45</v>
      </c>
      <c r="C12">
        <v>20</v>
      </c>
      <c r="D12">
        <v>45</v>
      </c>
      <c r="E12">
        <v>100</v>
      </c>
      <c r="F12">
        <v>190</v>
      </c>
      <c r="G12">
        <v>305</v>
      </c>
      <c r="H12">
        <v>450</v>
      </c>
    </row>
    <row r="13" spans="2:8" x14ac:dyDescent="0.25">
      <c r="B13" s="9" t="s">
        <v>46</v>
      </c>
      <c r="C13">
        <v>30</v>
      </c>
      <c r="D13">
        <v>55</v>
      </c>
      <c r="E13">
        <v>110</v>
      </c>
      <c r="F13">
        <v>200</v>
      </c>
      <c r="G13">
        <v>320</v>
      </c>
      <c r="H13">
        <v>470</v>
      </c>
    </row>
    <row r="14" spans="2:8" x14ac:dyDescent="0.25">
      <c r="B14" s="9" t="s">
        <v>47</v>
      </c>
      <c r="C14">
        <v>30</v>
      </c>
      <c r="D14">
        <v>55</v>
      </c>
      <c r="E14">
        <v>110</v>
      </c>
      <c r="F14">
        <v>200</v>
      </c>
      <c r="G14">
        <v>320</v>
      </c>
      <c r="H14">
        <v>470</v>
      </c>
    </row>
    <row r="15" spans="2:8" x14ac:dyDescent="0.25">
      <c r="B15" s="9" t="s">
        <v>48</v>
      </c>
      <c r="C15">
        <v>30</v>
      </c>
      <c r="D15">
        <v>55</v>
      </c>
      <c r="E15">
        <v>110</v>
      </c>
      <c r="F15">
        <v>200</v>
      </c>
      <c r="G15">
        <v>320</v>
      </c>
      <c r="H15">
        <v>470</v>
      </c>
    </row>
    <row r="16" spans="2:8" x14ac:dyDescent="0.25">
      <c r="B16" s="10" t="s">
        <v>28</v>
      </c>
      <c r="C16">
        <v>26.666666666666668</v>
      </c>
      <c r="D16">
        <v>52.083333333333336</v>
      </c>
      <c r="E16">
        <v>108.33333333333333</v>
      </c>
      <c r="F16">
        <v>197.5</v>
      </c>
      <c r="G16">
        <v>314.58333333333331</v>
      </c>
      <c r="H16">
        <v>462.5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13"/>
  <dimension ref="B1:G9"/>
  <sheetViews>
    <sheetView topLeftCell="B1" workbookViewId="0">
      <selection activeCell="G4" sqref="G4"/>
    </sheetView>
  </sheetViews>
  <sheetFormatPr defaultRowHeight="15" x14ac:dyDescent="0.25"/>
  <cols>
    <col min="2" max="2" width="11.42578125" customWidth="1"/>
    <col min="3" max="3" width="19.5703125" customWidth="1"/>
    <col min="4" max="6" width="4" customWidth="1"/>
    <col min="7" max="7" width="10.7109375" customWidth="1"/>
    <col min="8" max="13" width="4" customWidth="1"/>
    <col min="14" max="15" width="12" bestFit="1" customWidth="1"/>
  </cols>
  <sheetData>
    <row r="1" spans="2:7" x14ac:dyDescent="0.25">
      <c r="B1" s="4" t="s">
        <v>49</v>
      </c>
      <c r="C1" t="s">
        <v>55</v>
      </c>
    </row>
    <row r="2" spans="2:7" x14ac:dyDescent="0.25">
      <c r="B2" s="4" t="s">
        <v>50</v>
      </c>
      <c r="C2" t="s">
        <v>55</v>
      </c>
    </row>
    <row r="3" spans="2:7" x14ac:dyDescent="0.25">
      <c r="B3" s="4" t="s">
        <v>51</v>
      </c>
      <c r="C3" t="s">
        <v>55</v>
      </c>
    </row>
    <row r="5" spans="2:7" x14ac:dyDescent="0.25">
      <c r="C5" s="4" t="s">
        <v>14</v>
      </c>
    </row>
    <row r="6" spans="2:7" x14ac:dyDescent="0.25">
      <c r="B6" s="4" t="s">
        <v>59</v>
      </c>
      <c r="C6" t="s">
        <v>41</v>
      </c>
      <c r="D6" t="s">
        <v>42</v>
      </c>
      <c r="E6" t="s">
        <v>43</v>
      </c>
      <c r="F6" t="s">
        <v>45</v>
      </c>
      <c r="G6" t="s">
        <v>10</v>
      </c>
    </row>
    <row r="7" spans="2:7" x14ac:dyDescent="0.25">
      <c r="B7" s="5" t="s">
        <v>56</v>
      </c>
      <c r="C7" s="3">
        <v>200</v>
      </c>
      <c r="D7" s="3">
        <v>400</v>
      </c>
      <c r="E7" s="3">
        <v>195</v>
      </c>
      <c r="F7" s="3">
        <v>190</v>
      </c>
      <c r="G7" s="3">
        <v>985</v>
      </c>
    </row>
    <row r="8" spans="2:7" x14ac:dyDescent="0.25">
      <c r="B8" s="5" t="s">
        <v>57</v>
      </c>
      <c r="C8" s="3">
        <v>320</v>
      </c>
      <c r="D8" s="3">
        <v>640</v>
      </c>
      <c r="E8" s="3">
        <v>310</v>
      </c>
      <c r="F8" s="3">
        <v>305</v>
      </c>
      <c r="G8" s="3">
        <v>1575</v>
      </c>
    </row>
    <row r="9" spans="2:7" x14ac:dyDescent="0.25">
      <c r="B9" s="5" t="s">
        <v>58</v>
      </c>
      <c r="C9" s="3">
        <v>470</v>
      </c>
      <c r="D9" s="3">
        <v>940</v>
      </c>
      <c r="E9" s="3">
        <v>455</v>
      </c>
      <c r="F9" s="3">
        <v>450</v>
      </c>
      <c r="G9" s="3">
        <v>2315</v>
      </c>
    </row>
  </sheetData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Props1.xml><?xml version="1.0" encoding="utf-8"?>
<ds:datastoreItem xmlns:ds="http://schemas.openxmlformats.org/officeDocument/2006/customXml" ds:itemID="{C1E9052E-0FB4-45F6-8D67-441259B0E3F7}">
  <ds:schemaRefs/>
</ds:datastoreItem>
</file>

<file path=customXml/itemProps2.xml><?xml version="1.0" encoding="utf-8"?>
<ds:datastoreItem xmlns:ds="http://schemas.openxmlformats.org/officeDocument/2006/customXml" ds:itemID="{542C8FC4-8936-4065-AB6B-B0C0826EA437}">
  <ds:schemaRefs/>
</ds:datastoreItem>
</file>

<file path=customXml/itemProps3.xml><?xml version="1.0" encoding="utf-8"?>
<ds:datastoreItem xmlns:ds="http://schemas.openxmlformats.org/officeDocument/2006/customXml" ds:itemID="{F0F84C10-A9A6-4FF4-853A-395DE806B8F5}">
  <ds:schemaRefs/>
</ds:datastoreItem>
</file>

<file path=customXml/itemProps4.xml><?xml version="1.0" encoding="utf-8"?>
<ds:datastoreItem xmlns:ds="http://schemas.openxmlformats.org/officeDocument/2006/customXml" ds:itemID="{43B7FA70-3B71-4162-BA41-5512E2F40C5F}">
  <ds:schemaRefs/>
</ds:datastoreItem>
</file>

<file path=customXml/itemProps5.xml><?xml version="1.0" encoding="utf-8"?>
<ds:datastoreItem xmlns:ds="http://schemas.openxmlformats.org/officeDocument/2006/customXml" ds:itemID="{F47FC4FB-8A6B-42FB-98F5-9653B2733DCC}">
  <ds:schemaRefs/>
</ds:datastoreItem>
</file>

<file path=customXml/itemProps6.xml><?xml version="1.0" encoding="utf-8"?>
<ds:datastoreItem xmlns:ds="http://schemas.openxmlformats.org/officeDocument/2006/customXml" ds:itemID="{5111F44B-BB14-4AEA-AD3B-7FE047E80C99}">
  <ds:schemaRefs/>
</ds:datastoreItem>
</file>

<file path=customXml/itemProps7.xml><?xml version="1.0" encoding="utf-8"?>
<ds:datastoreItem xmlns:ds="http://schemas.openxmlformats.org/officeDocument/2006/customXml" ds:itemID="{F0AFF6CC-0D72-44FA-BF27-2AFB025D56E1}">
  <ds:schemaRefs/>
</ds:datastoreItem>
</file>

<file path=customXml/itemProps8.xml><?xml version="1.0" encoding="utf-8"?>
<ds:datastoreItem xmlns:ds="http://schemas.openxmlformats.org/officeDocument/2006/customXml" ds:itemID="{8F9DD7D7-7590-42E3-A9B2-9EF97074BB30}">
  <ds:schemaRefs/>
</ds:datastoreItem>
</file>

<file path=customXml/itemProps9.xml><?xml version="1.0" encoding="utf-8"?>
<ds:datastoreItem xmlns:ds="http://schemas.openxmlformats.org/officeDocument/2006/customXml" ds:itemID="{F717413A-4AC2-47C7-B7E1-51241E73CED6}">
  <ds:schemaRefs/>
</ds:datastoreItem>
</file>

<file path=customXml/itemProps10.xml><?xml version="1.0" encoding="utf-8"?>
<ds:datastoreItem xmlns:ds="http://schemas.openxmlformats.org/officeDocument/2006/customXml" ds:itemID="{B58CB078-5C52-4D58-9BB4-0856213262D9}">
  <ds:schemaRefs/>
</ds:datastoreItem>
</file>

<file path=customXml/itemProps11.xml><?xml version="1.0" encoding="utf-8"?>
<ds:datastoreItem xmlns:ds="http://schemas.openxmlformats.org/officeDocument/2006/customXml" ds:itemID="{BA0B0127-A384-4491-9AFF-7BBC508C08E9}">
  <ds:schemaRefs/>
</ds:datastoreItem>
</file>

<file path=customXml/itemProps12.xml><?xml version="1.0" encoding="utf-8"?>
<ds:datastoreItem xmlns:ds="http://schemas.openxmlformats.org/officeDocument/2006/customXml" ds:itemID="{80C9176F-60C0-4675-97CC-E008100B3BC7}">
  <ds:schemaRefs/>
</ds:datastoreItem>
</file>

<file path=customXml/itemProps13.xml><?xml version="1.0" encoding="utf-8"?>
<ds:datastoreItem xmlns:ds="http://schemas.openxmlformats.org/officeDocument/2006/customXml" ds:itemID="{10F1378E-8D08-4F77-BEF3-95D5AC945FA0}">
  <ds:schemaRefs/>
</ds:datastoreItem>
</file>

<file path=customXml/itemProps14.xml><?xml version="1.0" encoding="utf-8"?>
<ds:datastoreItem xmlns:ds="http://schemas.openxmlformats.org/officeDocument/2006/customXml" ds:itemID="{895CCD80-04F9-4E30-8463-F251CE91C2C5}">
  <ds:schemaRefs/>
</ds:datastoreItem>
</file>

<file path=customXml/itemProps15.xml><?xml version="1.0" encoding="utf-8"?>
<ds:datastoreItem xmlns:ds="http://schemas.openxmlformats.org/officeDocument/2006/customXml" ds:itemID="{2AB29B8B-F41B-40DE-84CD-E0BB07F54064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13</vt:i4>
      </vt:variant>
      <vt:variant>
        <vt:lpstr>Intervalos com nome</vt:lpstr>
      </vt:variant>
      <vt:variant>
        <vt:i4>2</vt:i4>
      </vt:variant>
    </vt:vector>
  </HeadingPairs>
  <TitlesOfParts>
    <vt:vector size="15" baseType="lpstr">
      <vt:lpstr>Bons_Maus</vt:lpstr>
      <vt:lpstr>Vidas_Nivel</vt:lpstr>
      <vt:lpstr>Insistencias_Idade</vt:lpstr>
      <vt:lpstr>Itens_Sexo</vt:lpstr>
      <vt:lpstr>Itens_Idade</vt:lpstr>
      <vt:lpstr>Pontuacao_Nivel</vt:lpstr>
      <vt:lpstr>Insistencias_Nivel</vt:lpstr>
      <vt:lpstr>Vista Avançada2</vt:lpstr>
      <vt:lpstr>Nivel_Tempo</vt:lpstr>
      <vt:lpstr>Dados</vt:lpstr>
      <vt:lpstr>Folha2</vt:lpstr>
      <vt:lpstr>Folha3</vt:lpstr>
      <vt:lpstr>Folha4</vt:lpstr>
      <vt:lpstr>'Vista Avançada2'!Área_de_Impressão</vt:lpstr>
      <vt:lpstr>Dados!Data_1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</dc:creator>
  <cp:lastModifiedBy>Ana Gonçalves</cp:lastModifiedBy>
  <dcterms:created xsi:type="dcterms:W3CDTF">2015-01-12T12:02:21Z</dcterms:created>
  <dcterms:modified xsi:type="dcterms:W3CDTF">2015-01-26T09:56:25Z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4</vt:i4>
  </property>
</Properties>
</file>